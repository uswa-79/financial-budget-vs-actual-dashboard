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528" windowWidth="12324" windowHeight="11736" activeTab="3"/>
  </bookViews>
  <sheets>
    <sheet name="Sheet4" sheetId="4" r:id="rId1"/>
    <sheet name="Sheet5" sheetId="5" r:id="rId2"/>
    <sheet name="Sheet6" sheetId="6" r:id="rId3"/>
    <sheet name="Sheet1" sheetId="1" r:id="rId4"/>
    <sheet name="Sheet2" sheetId="2" r:id="rId5"/>
    <sheet name="Sheet3" sheetId="3" r:id="rId6"/>
  </sheets>
  <calcPr calcId="145621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M30" i="1"/>
  <c r="M31" i="1"/>
  <c r="M32" i="1"/>
  <c r="M33" i="1"/>
  <c r="Q11" i="1" l="1"/>
  <c r="Q9" i="1"/>
  <c r="Q3" i="1"/>
  <c r="O17" i="1"/>
  <c r="O11" i="1"/>
  <c r="Q5" i="1"/>
  <c r="M26" i="1"/>
  <c r="M23" i="1"/>
  <c r="M20" i="1" l="1"/>
  <c r="O15" i="1" l="1"/>
  <c r="O13" i="1"/>
  <c r="O9" i="1"/>
  <c r="O5" i="1"/>
  <c r="O3" i="1"/>
  <c r="E34" i="1"/>
  <c r="D34" i="1"/>
  <c r="H4" i="1"/>
  <c r="J4" i="1" s="1"/>
  <c r="H5" i="1"/>
  <c r="H6" i="1"/>
  <c r="I6" i="1" s="1"/>
  <c r="H7" i="1"/>
  <c r="J7" i="1" s="1"/>
  <c r="H8" i="1"/>
  <c r="J8" i="1" s="1"/>
  <c r="H9" i="1"/>
  <c r="I9" i="1" s="1"/>
  <c r="H10" i="1"/>
  <c r="I10" i="1" s="1"/>
  <c r="H11" i="1"/>
  <c r="J11" i="1" s="1"/>
  <c r="H12" i="1"/>
  <c r="J12" i="1" s="1"/>
  <c r="H13" i="1"/>
  <c r="I13" i="1" s="1"/>
  <c r="H14" i="1"/>
  <c r="I14" i="1" s="1"/>
  <c r="H15" i="1"/>
  <c r="J15" i="1" s="1"/>
  <c r="H16" i="1"/>
  <c r="J16" i="1" s="1"/>
  <c r="H17" i="1"/>
  <c r="I17" i="1" s="1"/>
  <c r="H18" i="1"/>
  <c r="I18" i="1" s="1"/>
  <c r="H19" i="1"/>
  <c r="J19" i="1" s="1"/>
  <c r="H20" i="1"/>
  <c r="J20" i="1" s="1"/>
  <c r="H21" i="1"/>
  <c r="I21" i="1" s="1"/>
  <c r="H22" i="1"/>
  <c r="I22" i="1" s="1"/>
  <c r="H23" i="1"/>
  <c r="J23" i="1" s="1"/>
  <c r="H24" i="1"/>
  <c r="J24" i="1" s="1"/>
  <c r="H25" i="1"/>
  <c r="I25" i="1" s="1"/>
  <c r="H26" i="1"/>
  <c r="I26" i="1" s="1"/>
  <c r="H27" i="1"/>
  <c r="J27" i="1" s="1"/>
  <c r="H28" i="1"/>
  <c r="J28" i="1" s="1"/>
  <c r="H29" i="1"/>
  <c r="I29" i="1" s="1"/>
  <c r="H30" i="1"/>
  <c r="I30" i="1" s="1"/>
  <c r="H31" i="1"/>
  <c r="J31" i="1" s="1"/>
  <c r="H32" i="1"/>
  <c r="J32" i="1" s="1"/>
  <c r="H33" i="1"/>
  <c r="I33" i="1" s="1"/>
  <c r="I5" i="1" l="1"/>
  <c r="Q7" i="1"/>
  <c r="O7" i="1"/>
  <c r="H34" i="1"/>
  <c r="I32" i="1"/>
  <c r="I28" i="1"/>
  <c r="I24" i="1"/>
  <c r="I20" i="1"/>
  <c r="I16" i="1"/>
  <c r="I12" i="1"/>
  <c r="I8" i="1"/>
  <c r="I4" i="1"/>
  <c r="J30" i="1"/>
  <c r="J26" i="1"/>
  <c r="J22" i="1"/>
  <c r="J18" i="1"/>
  <c r="J14" i="1"/>
  <c r="J10" i="1"/>
  <c r="J6" i="1"/>
  <c r="I31" i="1"/>
  <c r="I27" i="1"/>
  <c r="I23" i="1"/>
  <c r="I19" i="1"/>
  <c r="I15" i="1"/>
  <c r="I11" i="1"/>
  <c r="I7" i="1"/>
  <c r="J33" i="1"/>
  <c r="J29" i="1"/>
  <c r="J25" i="1"/>
  <c r="J21" i="1"/>
  <c r="J17" i="1"/>
  <c r="J13" i="1"/>
  <c r="J9" i="1"/>
  <c r="J5" i="1"/>
</calcChain>
</file>

<file path=xl/sharedStrings.xml><?xml version="1.0" encoding="utf-8"?>
<sst xmlns="http://schemas.openxmlformats.org/spreadsheetml/2006/main" count="314" uniqueCount="58">
  <si>
    <t>Financial Budget vs Actual Dashboard</t>
  </si>
  <si>
    <t>Month</t>
  </si>
  <si>
    <t>Department</t>
  </si>
  <si>
    <t>Expense Type</t>
  </si>
  <si>
    <t>Budget</t>
  </si>
  <si>
    <t>Actual</t>
  </si>
  <si>
    <t>Manager</t>
  </si>
  <si>
    <t>Jan</t>
  </si>
  <si>
    <t>Sales</t>
  </si>
  <si>
    <t>Salary</t>
  </si>
  <si>
    <t>Ali</t>
  </si>
  <si>
    <t>Marketing</t>
  </si>
  <si>
    <t>Advertising</t>
  </si>
  <si>
    <t>Sara</t>
  </si>
  <si>
    <t>HR</t>
  </si>
  <si>
    <t>Training</t>
  </si>
  <si>
    <t>Ahmed</t>
  </si>
  <si>
    <t>IT</t>
  </si>
  <si>
    <t>Software</t>
  </si>
  <si>
    <t>Hina</t>
  </si>
  <si>
    <t>Finance</t>
  </si>
  <si>
    <t>Office</t>
  </si>
  <si>
    <t>Usman</t>
  </si>
  <si>
    <t>Feb</t>
  </si>
  <si>
    <t>Mar</t>
  </si>
  <si>
    <t>Apr</t>
  </si>
  <si>
    <t>May</t>
  </si>
  <si>
    <t>Jun</t>
  </si>
  <si>
    <t>Variance</t>
  </si>
  <si>
    <t>Status</t>
  </si>
  <si>
    <t>Variance%</t>
  </si>
  <si>
    <t>Total</t>
  </si>
  <si>
    <t>💰Tota Budget</t>
  </si>
  <si>
    <t>💲Total Actual</t>
  </si>
  <si>
    <t>💹Total Variance</t>
  </si>
  <si>
    <t>💳Average Budget</t>
  </si>
  <si>
    <t>📈Highest Expense</t>
  </si>
  <si>
    <t>📉Lowest Expense</t>
  </si>
  <si>
    <t>Actual Renevue</t>
  </si>
  <si>
    <t>Actual Revenue</t>
  </si>
  <si>
    <t>Total Transactions</t>
  </si>
  <si>
    <t>💳Average Actual</t>
  </si>
  <si>
    <t>Director</t>
  </si>
  <si>
    <t>Sum of Budget</t>
  </si>
  <si>
    <t>Row Labels</t>
  </si>
  <si>
    <t>Grand Total</t>
  </si>
  <si>
    <t>Sum of Actual</t>
  </si>
  <si>
    <t>Sum of Variance</t>
  </si>
  <si>
    <t>Rating</t>
  </si>
  <si>
    <t>Over Budget</t>
  </si>
  <si>
    <t>Within Budget</t>
  </si>
  <si>
    <t>Business Summary</t>
  </si>
  <si>
    <t>📌 Key Findings</t>
  </si>
  <si>
    <t>⚠️ Risks</t>
  </si>
  <si>
    <t>💡 Recommendations</t>
  </si>
  <si>
    <t>• Sales department recorded the highest actual spending and exceeded its allocated budget.
• Finance and IT remained within their allocated budgets.
• June recorded the highest monthly expenditure across all months.</t>
  </si>
  <si>
    <t>• Continuous growth in departmental spending may lead to budget overruns if not monitored.
• Marketing expenses require closer monitoring due to high advertising costs.</t>
  </si>
  <si>
    <t>• Review Marketing advertising expenses to identify unnecessary costs.
• Reallocate budgets based on historical spending patterns.
• Monitor monthly variances to prevent future overspending.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</si>
</sst>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164" formatCode="[$PKR]\ #,##0.00_);[Red]\([$PKR]\ #,##0.00\)"/>
    <numFmt numFmtId="165" formatCode="_([$PKR]\ * #,##0_);_([$PKR]\ * \(#,##0\);_([$PKR]\ * &quot;-&quot;_);_(@_)"/>
    <numFmt numFmtId="166" formatCode="[$PKR]\ #,##0_);[Red]\([$PKR]\ #,##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0" fontId="6" fillId="2" borderId="0" xfId="0" applyFont="1" applyFill="1"/>
    <xf numFmtId="0" fontId="3" fillId="2" borderId="0" xfId="0" applyFont="1" applyFill="1"/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164" fontId="4" fillId="2" borderId="0" xfId="1" applyNumberFormat="1" applyFont="1" applyFill="1" applyAlignment="1">
      <alignment horizontal="centerContinuous"/>
    </xf>
    <xf numFmtId="164" fontId="2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5" fontId="6" fillId="2" borderId="0" xfId="0" applyNumberFormat="1" applyFont="1" applyFill="1"/>
    <xf numFmtId="165" fontId="5" fillId="0" borderId="0" xfId="0" applyNumberFormat="1" applyFont="1"/>
    <xf numFmtId="165" fontId="0" fillId="0" borderId="0" xfId="0" applyNumberFormat="1" applyAlignment="1">
      <alignment vertical="center"/>
    </xf>
    <xf numFmtId="165" fontId="0" fillId="0" borderId="1" xfId="0" applyNumberFormat="1" applyBorder="1" applyAlignment="1">
      <alignment vertical="center"/>
    </xf>
    <xf numFmtId="165" fontId="0" fillId="0" borderId="0" xfId="1" applyNumberFormat="1" applyFont="1" applyAlignment="1">
      <alignment vertical="center"/>
    </xf>
    <xf numFmtId="164" fontId="0" fillId="0" borderId="0" xfId="1" applyNumberFormat="1" applyFon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165" fontId="0" fillId="0" borderId="0" xfId="0" applyNumberFormat="1"/>
    <xf numFmtId="166" fontId="6" fillId="2" borderId="0" xfId="0" applyNumberFormat="1" applyFont="1" applyFill="1"/>
    <xf numFmtId="166" fontId="0" fillId="0" borderId="0" xfId="0" applyNumberFormat="1"/>
    <xf numFmtId="0" fontId="0" fillId="0" borderId="0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7" fillId="0" borderId="1" xfId="0" applyNumberFormat="1" applyFont="1" applyBorder="1" applyAlignment="1">
      <alignment vertical="center"/>
    </xf>
    <xf numFmtId="0" fontId="0" fillId="0" borderId="0" xfId="0" applyAlignment="1"/>
  </cellXfs>
  <cellStyles count="2">
    <cellStyle name="Currency" xfId="1" builtinId="4"/>
    <cellStyle name="Normal" xfId="0" builtinId="0"/>
  </cellStyles>
  <dxfs count="39">
    <dxf>
      <numFmt numFmtId="0" formatCode="General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numFmt numFmtId="14" formatCode="0.00%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14" formatCode="0.00%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165" formatCode="_([$PKR]\ * #,##0_);_([$PKR]\ * \(#,##0\);_([$PKR]\ * &quot;-&quot;_);_(@_)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164" formatCode="[$PKR]\ #,##0.00_);[Red]\([$PKR]\ #,##0.00\)"/>
      <alignment horizontal="center" vertical="center" textRotation="0" wrapText="0" indent="0" justifyLastLine="0" shrinkToFit="0" readingOrder="0"/>
    </dxf>
    <dxf>
      <numFmt numFmtId="165" formatCode="_([$PKR]\ * #,##0_);_([$PKR]\ * \(#,##0\);_([$PKR]\ * &quot;-&quot;_);_(@_)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0" formatCode="General"/>
      <alignment horizontal="general" vertical="center" textRotation="0" wrapText="0" indent="0" justifyLastLine="0" shrinkToFit="0" readingOrder="0"/>
    </dxf>
    <dxf>
      <numFmt numFmtId="165" formatCode="_([$PKR]\ * #,##0_);_([$PKR]\ * \(#,##0\);_([$PKR]\ * &quot;-&quot;_);_(@_)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alignment horizontal="general" vertical="center" textRotation="0" wrapText="0" indent="0" justifyLastLine="0" shrinkToFit="0" readingOrder="0"/>
    </dxf>
    <dxf>
      <numFmt numFmtId="165" formatCode="_([$PKR]\ * #,##0_);_([$PKR]\ * \(#,##0\);_([$PKR]\ * &quot;-&quot;_);_(@_)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165" formatCode="_([$PKR]\ * #,##0_);_([$PKR]\ * \(#,##0\);_([$PKR]\ * &quot;-&quot;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[$PKR]\ * #,##0_);_([$PKR]\ * \(#,##0\);_([$PKR]\ * &quot;-&quot;_);_(@_)"/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numFmt numFmtId="165" formatCode="_([$PKR]\ * #,##0_);_([$PKR]\ * \(#,##0\);_([$PKR]\ * &quot;-&quot;_);_(@_)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double">
          <color indexed="64"/>
        </bottom>
      </border>
    </dxf>
    <dxf>
      <alignment horizontal="general" vertical="center" textRotation="0" wrapText="0" indent="0" justifyLastLine="0" shrinkToFit="0" readingOrder="0"/>
    </dxf>
    <dxf>
      <border>
        <top style="thin">
          <color indexed="64"/>
        </top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  Financial Budget vs Actual Dashboard.xlsx]Sheet1!PivotTable1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Budget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spPr>
          <a:solidFill>
            <a:srgbClr val="C00000"/>
          </a:solidFill>
        </c:spPr>
        <c:marker>
          <c:symbol val="none"/>
        </c:marker>
      </c:pivotFmt>
      <c:pivotFmt>
        <c:idx val="3"/>
        <c:spPr>
          <a:solidFill>
            <a:srgbClr val="FFC000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Sheet1!$A$41:$A$46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Sheet1!$B$41:$B$46</c:f>
              <c:numCache>
                <c:formatCode>General</c:formatCode>
                <c:ptCount val="5"/>
                <c:pt idx="0">
                  <c:v>770000</c:v>
                </c:pt>
                <c:pt idx="1">
                  <c:v>546000</c:v>
                </c:pt>
                <c:pt idx="2">
                  <c:v>1155000</c:v>
                </c:pt>
                <c:pt idx="3">
                  <c:v>1395000</c:v>
                </c:pt>
                <c:pt idx="4">
                  <c:v>2175000</c:v>
                </c:pt>
              </c:numCache>
            </c:numRef>
          </c:val>
        </c:ser>
        <c:ser>
          <c:idx val="1"/>
          <c:order val="1"/>
          <c:tx>
            <c:strRef>
              <c:f>Sheet1!$C$40</c:f>
              <c:strCache>
                <c:ptCount val="1"/>
                <c:pt idx="0">
                  <c:v>Sum of Actual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Sheet1!$A$41:$A$46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Sheet1!$C$41:$C$46</c:f>
              <c:numCache>
                <c:formatCode>General</c:formatCode>
                <c:ptCount val="5"/>
                <c:pt idx="0">
                  <c:v>745000</c:v>
                </c:pt>
                <c:pt idx="1">
                  <c:v>542000</c:v>
                </c:pt>
                <c:pt idx="2">
                  <c:v>1182000</c:v>
                </c:pt>
                <c:pt idx="3">
                  <c:v>1408000</c:v>
                </c:pt>
                <c:pt idx="4">
                  <c:v>2180000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21760"/>
        <c:axId val="142023296"/>
      </c:barChart>
      <c:catAx>
        <c:axId val="142021760"/>
        <c:scaling>
          <c:orientation val="minMax"/>
        </c:scaling>
        <c:delete val="0"/>
        <c:axPos val="b"/>
        <c:majorTickMark val="out"/>
        <c:minorTickMark val="none"/>
        <c:tickLblPos val="nextTo"/>
        <c:crossAx val="142023296"/>
        <c:crosses val="autoZero"/>
        <c:auto val="1"/>
        <c:lblAlgn val="ctr"/>
        <c:lblOffset val="100"/>
        <c:noMultiLvlLbl val="0"/>
      </c:catAx>
      <c:valAx>
        <c:axId val="142023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021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  Financial Budget vs Actual Dashboard.xlsx]Sheet1!PivotTable2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Actual by Month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spPr>
          <a:solidFill>
            <a:schemeClr val="tx2"/>
          </a:solidFill>
        </c:spPr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Sheet1!$I$41:$I$47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Sheet1!$J$41:$J$47</c:f>
              <c:numCache>
                <c:formatCode>General</c:formatCode>
                <c:ptCount val="6"/>
                <c:pt idx="0">
                  <c:v>970000</c:v>
                </c:pt>
                <c:pt idx="1">
                  <c:v>968000</c:v>
                </c:pt>
                <c:pt idx="2">
                  <c:v>997000</c:v>
                </c:pt>
                <c:pt idx="3">
                  <c:v>1022000</c:v>
                </c:pt>
                <c:pt idx="4">
                  <c:v>1033000</c:v>
                </c:pt>
                <c:pt idx="5">
                  <c:v>1067000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047872"/>
        <c:axId val="142070144"/>
      </c:barChart>
      <c:catAx>
        <c:axId val="142047872"/>
        <c:scaling>
          <c:orientation val="minMax"/>
        </c:scaling>
        <c:delete val="0"/>
        <c:axPos val="b"/>
        <c:majorTickMark val="out"/>
        <c:minorTickMark val="none"/>
        <c:tickLblPos val="nextTo"/>
        <c:crossAx val="142070144"/>
        <c:crosses val="autoZero"/>
        <c:auto val="1"/>
        <c:lblAlgn val="ctr"/>
        <c:lblOffset val="100"/>
        <c:noMultiLvlLbl val="0"/>
      </c:catAx>
      <c:valAx>
        <c:axId val="142070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0478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  Financial Budget vs Actual Dashboard.xlsx]Sheet1!PivotTable5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Variance by Department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tx2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Sheet1!$A$57:$A$62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Sheet1!$B$57:$B$62</c:f>
              <c:numCache>
                <c:formatCode>General</c:formatCode>
                <c:ptCount val="5"/>
                <c:pt idx="0">
                  <c:v>-25000</c:v>
                </c:pt>
                <c:pt idx="1">
                  <c:v>-4000</c:v>
                </c:pt>
                <c:pt idx="2">
                  <c:v>27000</c:v>
                </c:pt>
                <c:pt idx="3">
                  <c:v>13000</c:v>
                </c:pt>
                <c:pt idx="4">
                  <c:v>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69568"/>
        <c:axId val="143071104"/>
      </c:barChart>
      <c:catAx>
        <c:axId val="143069568"/>
        <c:scaling>
          <c:orientation val="minMax"/>
        </c:scaling>
        <c:delete val="0"/>
        <c:axPos val="b"/>
        <c:majorTickMark val="out"/>
        <c:minorTickMark val="none"/>
        <c:tickLblPos val="nextTo"/>
        <c:crossAx val="143071104"/>
        <c:crosses val="autoZero"/>
        <c:auto val="1"/>
        <c:lblAlgn val="ctr"/>
        <c:lblOffset val="100"/>
        <c:noMultiLvlLbl val="0"/>
      </c:catAx>
      <c:valAx>
        <c:axId val="14307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0695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  Financial Budget vs Actual Dashboard.xlsx]Sheet1!PivotTable6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Manager Performance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spPr>
          <a:solidFill>
            <a:schemeClr val="tx2"/>
          </a:solidFill>
        </c:spPr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spPr>
          <a:solidFill>
            <a:schemeClr val="tx2"/>
          </a:solidFill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Sheet1!$I$57:$I$62</c:f>
              <c:strCache>
                <c:ptCount val="5"/>
                <c:pt idx="0">
                  <c:v>Ahmed</c:v>
                </c:pt>
                <c:pt idx="1">
                  <c:v>Ali</c:v>
                </c:pt>
                <c:pt idx="2">
                  <c:v>Hina</c:v>
                </c:pt>
                <c:pt idx="3">
                  <c:v>Sara</c:v>
                </c:pt>
                <c:pt idx="4">
                  <c:v>Usman</c:v>
                </c:pt>
              </c:strCache>
            </c:strRef>
          </c:cat>
          <c:val>
            <c:numRef>
              <c:f>Sheet1!$J$57:$J$62</c:f>
              <c:numCache>
                <c:formatCode>General</c:formatCode>
                <c:ptCount val="5"/>
                <c:pt idx="0">
                  <c:v>542000</c:v>
                </c:pt>
                <c:pt idx="1">
                  <c:v>2180000</c:v>
                </c:pt>
                <c:pt idx="2">
                  <c:v>1182000</c:v>
                </c:pt>
                <c:pt idx="3">
                  <c:v>1408000</c:v>
                </c:pt>
                <c:pt idx="4">
                  <c:v>745000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089024"/>
        <c:axId val="143103104"/>
      </c:barChart>
      <c:catAx>
        <c:axId val="1430890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3103104"/>
        <c:crosses val="autoZero"/>
        <c:auto val="1"/>
        <c:lblAlgn val="ctr"/>
        <c:lblOffset val="100"/>
        <c:noMultiLvlLbl val="0"/>
      </c:catAx>
      <c:valAx>
        <c:axId val="143103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0890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Budget vs Actual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val>
            <c:numRef>
              <c:f>Sheet1!$D$4:$D$33</c:f>
              <c:numCache>
                <c:formatCode>_([$PKR]\ * #,##0_);_([$PKR]\ * \(#,##0\);_([$PKR]\ * "-"_);_(@_)</c:formatCode>
                <c:ptCount val="30"/>
                <c:pt idx="0">
                  <c:v>350000</c:v>
                </c:pt>
                <c:pt idx="1">
                  <c:v>220000</c:v>
                </c:pt>
                <c:pt idx="2">
                  <c:v>90000</c:v>
                </c:pt>
                <c:pt idx="3">
                  <c:v>180000</c:v>
                </c:pt>
                <c:pt idx="4">
                  <c:v>120000</c:v>
                </c:pt>
                <c:pt idx="5">
                  <c:v>360000</c:v>
                </c:pt>
                <c:pt idx="6">
                  <c:v>210000</c:v>
                </c:pt>
                <c:pt idx="7">
                  <c:v>85000</c:v>
                </c:pt>
                <c:pt idx="8">
                  <c:v>190000</c:v>
                </c:pt>
                <c:pt idx="9">
                  <c:v>125000</c:v>
                </c:pt>
                <c:pt idx="10">
                  <c:v>355000</c:v>
                </c:pt>
                <c:pt idx="11">
                  <c:v>230000</c:v>
                </c:pt>
                <c:pt idx="12">
                  <c:v>92000</c:v>
                </c:pt>
                <c:pt idx="13">
                  <c:v>185000</c:v>
                </c:pt>
                <c:pt idx="14">
                  <c:v>128000</c:v>
                </c:pt>
                <c:pt idx="15">
                  <c:v>365000</c:v>
                </c:pt>
                <c:pt idx="16">
                  <c:v>240000</c:v>
                </c:pt>
                <c:pt idx="17">
                  <c:v>88000</c:v>
                </c:pt>
                <c:pt idx="18">
                  <c:v>195000</c:v>
                </c:pt>
                <c:pt idx="19">
                  <c:v>130000</c:v>
                </c:pt>
                <c:pt idx="20">
                  <c:v>370000</c:v>
                </c:pt>
                <c:pt idx="21">
                  <c:v>245000</c:v>
                </c:pt>
                <c:pt idx="22">
                  <c:v>95000</c:v>
                </c:pt>
                <c:pt idx="23">
                  <c:v>200000</c:v>
                </c:pt>
                <c:pt idx="24">
                  <c:v>132000</c:v>
                </c:pt>
                <c:pt idx="25">
                  <c:v>375000</c:v>
                </c:pt>
                <c:pt idx="26">
                  <c:v>250000</c:v>
                </c:pt>
                <c:pt idx="27">
                  <c:v>96000</c:v>
                </c:pt>
                <c:pt idx="28">
                  <c:v>205000</c:v>
                </c:pt>
                <c:pt idx="29">
                  <c:v>135000</c:v>
                </c:pt>
              </c:numCache>
            </c:numRef>
          </c:val>
        </c:ser>
        <c:ser>
          <c:idx val="1"/>
          <c:order val="1"/>
          <c:tx>
            <c:strRef>
              <c:f>Sheet1!$E$3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val>
            <c:numRef>
              <c:f>Sheet1!$E$4:$E$33</c:f>
              <c:numCache>
                <c:formatCode>_([$PKR]\ * #,##0_);_([$PKR]\ * \(#,##0\);_([$PKR]\ * "-"_);_(@_)</c:formatCode>
                <c:ptCount val="30"/>
                <c:pt idx="0">
                  <c:v>340000</c:v>
                </c:pt>
                <c:pt idx="1">
                  <c:v>240000</c:v>
                </c:pt>
                <c:pt idx="2">
                  <c:v>85000</c:v>
                </c:pt>
                <c:pt idx="3">
                  <c:v>195000</c:v>
                </c:pt>
                <c:pt idx="4">
                  <c:v>110000</c:v>
                </c:pt>
                <c:pt idx="5">
                  <c:v>355000</c:v>
                </c:pt>
                <c:pt idx="6">
                  <c:v>205000</c:v>
                </c:pt>
                <c:pt idx="7">
                  <c:v>90000</c:v>
                </c:pt>
                <c:pt idx="8">
                  <c:v>200000</c:v>
                </c:pt>
                <c:pt idx="9">
                  <c:v>118000</c:v>
                </c:pt>
                <c:pt idx="10">
                  <c:v>370000</c:v>
                </c:pt>
                <c:pt idx="11">
                  <c:v>225000</c:v>
                </c:pt>
                <c:pt idx="12">
                  <c:v>90000</c:v>
                </c:pt>
                <c:pt idx="13">
                  <c:v>182000</c:v>
                </c:pt>
                <c:pt idx="14">
                  <c:v>130000</c:v>
                </c:pt>
                <c:pt idx="15">
                  <c:v>360000</c:v>
                </c:pt>
                <c:pt idx="16">
                  <c:v>245000</c:v>
                </c:pt>
                <c:pt idx="17">
                  <c:v>86000</c:v>
                </c:pt>
                <c:pt idx="18">
                  <c:v>205000</c:v>
                </c:pt>
                <c:pt idx="19">
                  <c:v>126000</c:v>
                </c:pt>
                <c:pt idx="20">
                  <c:v>375000</c:v>
                </c:pt>
                <c:pt idx="21">
                  <c:v>238000</c:v>
                </c:pt>
                <c:pt idx="22">
                  <c:v>93000</c:v>
                </c:pt>
                <c:pt idx="23">
                  <c:v>198000</c:v>
                </c:pt>
                <c:pt idx="24">
                  <c:v>129000</c:v>
                </c:pt>
                <c:pt idx="25">
                  <c:v>380000</c:v>
                </c:pt>
                <c:pt idx="26">
                  <c:v>255000</c:v>
                </c:pt>
                <c:pt idx="27">
                  <c:v>98000</c:v>
                </c:pt>
                <c:pt idx="28">
                  <c:v>202000</c:v>
                </c:pt>
                <c:pt idx="29">
                  <c:v>132000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128448"/>
        <c:axId val="143129984"/>
      </c:barChart>
      <c:catAx>
        <c:axId val="143128448"/>
        <c:scaling>
          <c:orientation val="minMax"/>
        </c:scaling>
        <c:delete val="0"/>
        <c:axPos val="b"/>
        <c:majorTickMark val="out"/>
        <c:minorTickMark val="none"/>
        <c:tickLblPos val="nextTo"/>
        <c:crossAx val="143129984"/>
        <c:crosses val="autoZero"/>
        <c:auto val="1"/>
        <c:lblAlgn val="ctr"/>
        <c:lblOffset val="100"/>
        <c:noMultiLvlLbl val="0"/>
      </c:catAx>
      <c:valAx>
        <c:axId val="143129984"/>
        <c:scaling>
          <c:orientation val="minMax"/>
        </c:scaling>
        <c:delete val="0"/>
        <c:axPos val="l"/>
        <c:majorGridlines/>
        <c:numFmt formatCode="_([$PKR]\ * #,##0_);_([$PKR]\ * \(#,##0\);_([$PKR]\ * &quot;-&quot;_);_(@_)" sourceLinked="1"/>
        <c:majorTickMark val="out"/>
        <c:minorTickMark val="none"/>
        <c:tickLblPos val="nextTo"/>
        <c:crossAx val="1431284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  Financial Budget vs Actual Dashboard.xlsx]Sheet1!PivotTable2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Monthly Spending</a:t>
            </a:r>
            <a:endParaRPr lang="en-US"/>
          </a:p>
        </c:rich>
      </c:tx>
      <c:layout>
        <c:manualLayout>
          <c:xMode val="edge"/>
          <c:yMode val="edge"/>
          <c:x val="0.4390735146022155"/>
          <c:y val="0.11073680222961821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spPr>
          <a:ln>
            <a:solidFill>
              <a:schemeClr val="tx2"/>
            </a:solidFill>
          </a:ln>
        </c:spPr>
        <c:marker>
          <c:symbol val="none"/>
        </c:marker>
      </c:pivotFmt>
      <c:pivotFmt>
        <c:idx val="6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Sheet1!$J$40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none"/>
          </c:marker>
          <c:cat>
            <c:strRef>
              <c:f>Sheet1!$I$41:$I$47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Sheet1!$J$41:$J$47</c:f>
              <c:numCache>
                <c:formatCode>General</c:formatCode>
                <c:ptCount val="6"/>
                <c:pt idx="0">
                  <c:v>970000</c:v>
                </c:pt>
                <c:pt idx="1">
                  <c:v>968000</c:v>
                </c:pt>
                <c:pt idx="2">
                  <c:v>997000</c:v>
                </c:pt>
                <c:pt idx="3">
                  <c:v>1022000</c:v>
                </c:pt>
                <c:pt idx="4">
                  <c:v>1033000</c:v>
                </c:pt>
                <c:pt idx="5">
                  <c:v>1067000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39424"/>
        <c:axId val="143249408"/>
      </c:lineChart>
      <c:catAx>
        <c:axId val="1432394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3249408"/>
        <c:crosses val="autoZero"/>
        <c:auto val="1"/>
        <c:lblAlgn val="ctr"/>
        <c:lblOffset val="100"/>
        <c:noMultiLvlLbl val="0"/>
      </c:catAx>
      <c:valAx>
        <c:axId val="14324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239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[08  Financial Budget vs Actual Dashboard.xlsx]Sheet1!PivotTable1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Department Spending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spPr>
          <a:solidFill>
            <a:schemeClr val="tx2"/>
          </a:solidFill>
        </c:spPr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6"/>
        <c:spPr>
          <a:solidFill>
            <a:srgbClr val="FFC000"/>
          </a:solidFill>
        </c:spPr>
      </c:pivotFmt>
      <c:pivotFmt>
        <c:idx val="7"/>
        <c:spPr>
          <a:solidFill>
            <a:srgbClr val="C00000"/>
          </a:solidFill>
        </c:spPr>
        <c:dLbl>
          <c:idx val="0"/>
          <c:spPr/>
          <c:txPr>
            <a:bodyPr/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tx2">
              <a:lumMod val="20000"/>
              <a:lumOff val="80000"/>
            </a:schemeClr>
          </a:solidFill>
        </c:spPr>
      </c:pivotFmt>
      <c:pivotFmt>
        <c:idx val="9"/>
        <c:spPr>
          <a:solidFill>
            <a:schemeClr val="accent5"/>
          </a:solidFill>
        </c:spPr>
      </c:pivotFmt>
      <c:pivotFmt>
        <c:idx val="10"/>
        <c:dLbl>
          <c:idx val="0"/>
          <c:spPr/>
          <c:txPr>
            <a:bodyPr/>
            <a:lstStyle/>
            <a:p>
              <a:pPr>
                <a:defRPr>
                  <a:solidFill>
                    <a:schemeClr val="bg1"/>
                  </a:solidFill>
                </a:defRPr>
              </a:pPr>
              <a:endParaRPr lang="en-US"/>
            </a:p>
          </c:txPr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Sheet1!$B$40</c:f>
              <c:strCache>
                <c:ptCount val="1"/>
                <c:pt idx="0">
                  <c:v>Sum of Budget</c:v>
                </c:pt>
              </c:strCache>
            </c:strRef>
          </c:tx>
          <c:spPr>
            <a:solidFill>
              <a:schemeClr val="tx2"/>
            </a:solidFill>
          </c:spPr>
          <c:dPt>
            <c:idx val="0"/>
            <c:bubble3D val="0"/>
            <c:spPr>
              <a:solidFill>
                <a:srgbClr val="FFC000"/>
              </a:solidFill>
            </c:spPr>
          </c:dPt>
          <c:dPt>
            <c:idx val="1"/>
            <c:bubble3D val="0"/>
            <c:spPr>
              <a:solidFill>
                <a:schemeClr val="accent5"/>
              </a:solidFill>
            </c:spPr>
          </c:dPt>
          <c:dPt>
            <c:idx val="2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</c:dPt>
          <c:dPt>
            <c:idx val="3"/>
            <c:bubble3D val="0"/>
            <c:spPr>
              <a:solidFill>
                <a:srgbClr val="C00000"/>
              </a:solidFill>
            </c:spPr>
          </c:dPt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Sheet1!$A$41:$A$46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Sheet1!$B$41:$B$46</c:f>
              <c:numCache>
                <c:formatCode>General</c:formatCode>
                <c:ptCount val="5"/>
                <c:pt idx="0">
                  <c:v>770000</c:v>
                </c:pt>
                <c:pt idx="1">
                  <c:v>546000</c:v>
                </c:pt>
                <c:pt idx="2">
                  <c:v>1155000</c:v>
                </c:pt>
                <c:pt idx="3">
                  <c:v>1395000</c:v>
                </c:pt>
                <c:pt idx="4">
                  <c:v>2175000</c:v>
                </c:pt>
              </c:numCache>
            </c:numRef>
          </c:val>
        </c:ser>
        <c:ser>
          <c:idx val="1"/>
          <c:order val="1"/>
          <c:tx>
            <c:strRef>
              <c:f>Sheet1!$C$40</c:f>
              <c:strCache>
                <c:ptCount val="1"/>
                <c:pt idx="0">
                  <c:v>Sum of Actual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Sheet1!$A$41:$A$46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Sheet1!$C$41:$C$46</c:f>
              <c:numCache>
                <c:formatCode>General</c:formatCode>
                <c:ptCount val="5"/>
                <c:pt idx="0">
                  <c:v>745000</c:v>
                </c:pt>
                <c:pt idx="1">
                  <c:v>542000</c:v>
                </c:pt>
                <c:pt idx="2">
                  <c:v>1182000</c:v>
                </c:pt>
                <c:pt idx="3">
                  <c:v>1408000</c:v>
                </c:pt>
                <c:pt idx="4">
                  <c:v>2180000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</xdr:colOff>
      <xdr:row>34</xdr:row>
      <xdr:rowOff>30480</xdr:rowOff>
    </xdr:from>
    <xdr:to>
      <xdr:col>7</xdr:col>
      <xdr:colOff>758190</xdr:colOff>
      <xdr:row>49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72390</xdr:colOff>
      <xdr:row>34</xdr:row>
      <xdr:rowOff>15240</xdr:rowOff>
    </xdr:from>
    <xdr:to>
      <xdr:col>16</xdr:col>
      <xdr:colOff>605790</xdr:colOff>
      <xdr:row>49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38100</xdr:colOff>
      <xdr:row>51</xdr:row>
      <xdr:rowOff>34290</xdr:rowOff>
    </xdr:from>
    <xdr:to>
      <xdr:col>7</xdr:col>
      <xdr:colOff>731520</xdr:colOff>
      <xdr:row>66</xdr:row>
      <xdr:rowOff>34290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83820</xdr:colOff>
      <xdr:row>51</xdr:row>
      <xdr:rowOff>19050</xdr:rowOff>
    </xdr:from>
    <xdr:to>
      <xdr:col>17</xdr:col>
      <xdr:colOff>312420</xdr:colOff>
      <xdr:row>66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49530</xdr:colOff>
      <xdr:row>67</xdr:row>
      <xdr:rowOff>7620</xdr:rowOff>
    </xdr:from>
    <xdr:to>
      <xdr:col>5</xdr:col>
      <xdr:colOff>434340</xdr:colOff>
      <xdr:row>83</xdr:row>
      <xdr:rowOff>60960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548640</xdr:colOff>
      <xdr:row>67</xdr:row>
      <xdr:rowOff>30480</xdr:rowOff>
    </xdr:from>
    <xdr:to>
      <xdr:col>11</xdr:col>
      <xdr:colOff>510540</xdr:colOff>
      <xdr:row>83</xdr:row>
      <xdr:rowOff>60960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601980</xdr:colOff>
      <xdr:row>67</xdr:row>
      <xdr:rowOff>60960</xdr:rowOff>
    </xdr:from>
    <xdr:to>
      <xdr:col>18</xdr:col>
      <xdr:colOff>472440</xdr:colOff>
      <xdr:row>82</xdr:row>
      <xdr:rowOff>60960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TSME" refreshedDate="46214.684078124999" createdVersion="4" refreshedVersion="4" minRefreshableVersion="3" recordCount="30">
  <cacheSource type="worksheet">
    <worksheetSource name="Table1"/>
  </cacheSource>
  <cacheFields count="9">
    <cacheField name="Month" numFmtId="0">
      <sharedItems count="6">
        <s v="Jan"/>
        <s v="Feb"/>
        <s v="Mar"/>
        <s v="Apr"/>
        <s v="May"/>
        <s v="Jun"/>
      </sharedItems>
    </cacheField>
    <cacheField name="Department" numFmtId="0">
      <sharedItems count="5">
        <s v="Sales"/>
        <s v="Marketing"/>
        <s v="HR"/>
        <s v="IT"/>
        <s v="Finance"/>
      </sharedItems>
    </cacheField>
    <cacheField name="Expense Type" numFmtId="0">
      <sharedItems/>
    </cacheField>
    <cacheField name="Budget" numFmtId="165">
      <sharedItems containsSemiMixedTypes="0" containsString="0" containsNumber="1" containsInteger="1" minValue="85000" maxValue="375000"/>
    </cacheField>
    <cacheField name="Actual" numFmtId="165">
      <sharedItems containsSemiMixedTypes="0" containsString="0" containsNumber="1" containsInteger="1" minValue="85000" maxValue="380000"/>
    </cacheField>
    <cacheField name="Manager" numFmtId="0">
      <sharedItems count="5">
        <s v="Ali"/>
        <s v="Sara"/>
        <s v="Ahmed"/>
        <s v="Hina"/>
        <s v="Usman"/>
      </sharedItems>
    </cacheField>
    <cacheField name="Variance" numFmtId="164">
      <sharedItems containsSemiMixedTypes="0" containsString="0" containsNumber="1" containsInteger="1" minValue="-10000" maxValue="20000"/>
    </cacheField>
    <cacheField name="Status" numFmtId="0">
      <sharedItems count="2">
        <s v="Within Budget"/>
        <s v="Over Budget"/>
      </sharedItems>
    </cacheField>
    <cacheField name="Variance%" numFmtId="10">
      <sharedItems containsSemiMixedTypes="0" containsString="0" containsNumber="1" minValue="-8.3333333333333329E-2" maxValue="9.090909090909091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s v="Salary"/>
    <n v="350000"/>
    <n v="340000"/>
    <x v="0"/>
    <n v="-10000"/>
    <x v="0"/>
    <n v="-2.8571428571428571E-2"/>
  </r>
  <r>
    <x v="0"/>
    <x v="1"/>
    <s v="Advertising"/>
    <n v="220000"/>
    <n v="240000"/>
    <x v="1"/>
    <n v="20000"/>
    <x v="1"/>
    <n v="9.0909090909090912E-2"/>
  </r>
  <r>
    <x v="0"/>
    <x v="2"/>
    <s v="Training"/>
    <n v="90000"/>
    <n v="85000"/>
    <x v="2"/>
    <n v="-5000"/>
    <x v="0"/>
    <n v="-5.5555555555555552E-2"/>
  </r>
  <r>
    <x v="0"/>
    <x v="3"/>
    <s v="Software"/>
    <n v="180000"/>
    <n v="195000"/>
    <x v="3"/>
    <n v="15000"/>
    <x v="1"/>
    <n v="8.3333333333333329E-2"/>
  </r>
  <r>
    <x v="0"/>
    <x v="4"/>
    <s v="Office"/>
    <n v="120000"/>
    <n v="110000"/>
    <x v="4"/>
    <n v="-10000"/>
    <x v="0"/>
    <n v="-8.3333333333333329E-2"/>
  </r>
  <r>
    <x v="1"/>
    <x v="0"/>
    <s v="Salary"/>
    <n v="360000"/>
    <n v="355000"/>
    <x v="0"/>
    <n v="-5000"/>
    <x v="0"/>
    <n v="-1.3888888888888888E-2"/>
  </r>
  <r>
    <x v="1"/>
    <x v="1"/>
    <s v="Advertising"/>
    <n v="210000"/>
    <n v="205000"/>
    <x v="1"/>
    <n v="-5000"/>
    <x v="0"/>
    <n v="-2.3809523809523808E-2"/>
  </r>
  <r>
    <x v="1"/>
    <x v="2"/>
    <s v="Training"/>
    <n v="85000"/>
    <n v="90000"/>
    <x v="2"/>
    <n v="5000"/>
    <x v="1"/>
    <n v="5.8823529411764705E-2"/>
  </r>
  <r>
    <x v="1"/>
    <x v="3"/>
    <s v="Software"/>
    <n v="190000"/>
    <n v="200000"/>
    <x v="3"/>
    <n v="10000"/>
    <x v="1"/>
    <n v="5.2631578947368418E-2"/>
  </r>
  <r>
    <x v="1"/>
    <x v="4"/>
    <s v="Office"/>
    <n v="125000"/>
    <n v="118000"/>
    <x v="4"/>
    <n v="-7000"/>
    <x v="0"/>
    <n v="-5.6000000000000001E-2"/>
  </r>
  <r>
    <x v="2"/>
    <x v="0"/>
    <s v="Salary"/>
    <n v="355000"/>
    <n v="370000"/>
    <x v="0"/>
    <n v="15000"/>
    <x v="1"/>
    <n v="4.2253521126760563E-2"/>
  </r>
  <r>
    <x v="2"/>
    <x v="1"/>
    <s v="Advertising"/>
    <n v="230000"/>
    <n v="225000"/>
    <x v="1"/>
    <n v="-5000"/>
    <x v="0"/>
    <n v="-2.1739130434782608E-2"/>
  </r>
  <r>
    <x v="2"/>
    <x v="2"/>
    <s v="Training"/>
    <n v="92000"/>
    <n v="90000"/>
    <x v="2"/>
    <n v="-2000"/>
    <x v="0"/>
    <n v="-2.1739130434782608E-2"/>
  </r>
  <r>
    <x v="2"/>
    <x v="3"/>
    <s v="Software"/>
    <n v="185000"/>
    <n v="182000"/>
    <x v="3"/>
    <n v="-3000"/>
    <x v="0"/>
    <n v="-1.6216216216216217E-2"/>
  </r>
  <r>
    <x v="2"/>
    <x v="4"/>
    <s v="Office"/>
    <n v="128000"/>
    <n v="130000"/>
    <x v="4"/>
    <n v="2000"/>
    <x v="1"/>
    <n v="1.5625E-2"/>
  </r>
  <r>
    <x v="3"/>
    <x v="0"/>
    <s v="Salary"/>
    <n v="365000"/>
    <n v="360000"/>
    <x v="0"/>
    <n v="-5000"/>
    <x v="0"/>
    <n v="-1.3698630136986301E-2"/>
  </r>
  <r>
    <x v="3"/>
    <x v="1"/>
    <s v="Advertising"/>
    <n v="240000"/>
    <n v="245000"/>
    <x v="1"/>
    <n v="5000"/>
    <x v="1"/>
    <n v="2.0833333333333332E-2"/>
  </r>
  <r>
    <x v="3"/>
    <x v="2"/>
    <s v="Training"/>
    <n v="88000"/>
    <n v="86000"/>
    <x v="2"/>
    <n v="-2000"/>
    <x v="0"/>
    <n v="-2.2727272727272728E-2"/>
  </r>
  <r>
    <x v="3"/>
    <x v="3"/>
    <s v="Software"/>
    <n v="195000"/>
    <n v="205000"/>
    <x v="3"/>
    <n v="10000"/>
    <x v="1"/>
    <n v="5.128205128205128E-2"/>
  </r>
  <r>
    <x v="3"/>
    <x v="4"/>
    <s v="Office"/>
    <n v="130000"/>
    <n v="126000"/>
    <x v="4"/>
    <n v="-4000"/>
    <x v="0"/>
    <n v="-3.0769230769230771E-2"/>
  </r>
  <r>
    <x v="4"/>
    <x v="0"/>
    <s v="Salary"/>
    <n v="370000"/>
    <n v="375000"/>
    <x v="0"/>
    <n v="5000"/>
    <x v="1"/>
    <n v="1.3513513513513514E-2"/>
  </r>
  <r>
    <x v="4"/>
    <x v="1"/>
    <s v="Advertising"/>
    <n v="245000"/>
    <n v="238000"/>
    <x v="1"/>
    <n v="-7000"/>
    <x v="0"/>
    <n v="-2.8571428571428571E-2"/>
  </r>
  <r>
    <x v="4"/>
    <x v="2"/>
    <s v="Training"/>
    <n v="95000"/>
    <n v="93000"/>
    <x v="2"/>
    <n v="-2000"/>
    <x v="0"/>
    <n v="-2.1052631578947368E-2"/>
  </r>
  <r>
    <x v="4"/>
    <x v="3"/>
    <s v="Software"/>
    <n v="200000"/>
    <n v="198000"/>
    <x v="3"/>
    <n v="-2000"/>
    <x v="0"/>
    <n v="-0.01"/>
  </r>
  <r>
    <x v="4"/>
    <x v="4"/>
    <s v="Office"/>
    <n v="132000"/>
    <n v="129000"/>
    <x v="4"/>
    <n v="-3000"/>
    <x v="0"/>
    <n v="-2.2727272727272728E-2"/>
  </r>
  <r>
    <x v="5"/>
    <x v="0"/>
    <s v="Salary"/>
    <n v="375000"/>
    <n v="380000"/>
    <x v="0"/>
    <n v="5000"/>
    <x v="1"/>
    <n v="1.3333333333333334E-2"/>
  </r>
  <r>
    <x v="5"/>
    <x v="1"/>
    <s v="Advertising"/>
    <n v="250000"/>
    <n v="255000"/>
    <x v="1"/>
    <n v="5000"/>
    <x v="1"/>
    <n v="0.02"/>
  </r>
  <r>
    <x v="5"/>
    <x v="2"/>
    <s v="Training"/>
    <n v="96000"/>
    <n v="98000"/>
    <x v="2"/>
    <n v="2000"/>
    <x v="1"/>
    <n v="2.0833333333333332E-2"/>
  </r>
  <r>
    <x v="5"/>
    <x v="3"/>
    <s v="Software"/>
    <n v="205000"/>
    <n v="202000"/>
    <x v="3"/>
    <n v="-3000"/>
    <x v="0"/>
    <n v="-1.4634146341463415E-2"/>
  </r>
  <r>
    <x v="5"/>
    <x v="4"/>
    <s v="Office"/>
    <n v="135000"/>
    <n v="132000"/>
    <x v="4"/>
    <n v="-3000"/>
    <x v="0"/>
    <n v="-2.222222222222222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40:C46" firstHeaderRow="0" firstDataRow="1" firstDataCol="1"/>
  <pivotFields count="9"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dataField="1" numFmtId="165" showAll="0"/>
    <pivotField dataField="1" numFmtId="165" showAll="0"/>
    <pivotField showAll="0"/>
    <pivotField numFmtId="164" showAll="0"/>
    <pivotField showAll="0"/>
    <pivotField numFmtId="1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udget" fld="3" baseField="0" baseItem="0"/>
    <dataField name="Sum of Actual" fld="4" baseField="0" baseItem="0"/>
  </dataFields>
  <chartFormats count="9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56:J62" firstHeaderRow="1" firstDataRow="1" firstDataCol="1"/>
  <pivotFields count="9">
    <pivotField showAll="0"/>
    <pivotField showAll="0"/>
    <pivotField showAll="0"/>
    <pivotField numFmtId="165" showAll="0"/>
    <pivotField dataField="1" numFmtId="165" showAll="0"/>
    <pivotField axis="axisRow" showAll="0">
      <items count="6">
        <item x="2"/>
        <item x="0"/>
        <item x="3"/>
        <item x="1"/>
        <item x="4"/>
        <item t="default"/>
      </items>
    </pivotField>
    <pivotField numFmtId="164" showAll="0"/>
    <pivotField showAll="0">
      <items count="3">
        <item x="1"/>
        <item x="0"/>
        <item t="default"/>
      </items>
    </pivotField>
    <pivotField numFmtId="1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ctual" fld="4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6:B62" firstHeaderRow="1" firstDataRow="1" firstDataCol="1"/>
  <pivotFields count="9"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numFmtId="165" showAll="0"/>
    <pivotField numFmtId="165" showAll="0"/>
    <pivotField showAll="0"/>
    <pivotField dataField="1" numFmtId="164" showAll="0"/>
    <pivotField showAll="0"/>
    <pivotField numFmtId="1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Variance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I40:J47" firstHeaderRow="1" firstDataRow="1" firstDataCol="1"/>
  <pivotFields count="9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numFmtId="165" showAll="0"/>
    <pivotField dataField="1" numFmtId="165" showAll="0"/>
    <pivotField showAll="0"/>
    <pivotField numFmtId="164" showAll="0"/>
    <pivotField showAll="0"/>
    <pivotField numFmtId="1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ctual" fld="4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id="3" name="Table3" displayName="Table3" ref="A1:I7" totalsRowShown="0">
  <autoFilter ref="A1:I7"/>
  <tableColumns count="9">
    <tableColumn id="1" name="Month"/>
    <tableColumn id="2" name="Department"/>
    <tableColumn id="3" name="Expense Type"/>
    <tableColumn id="4" name="Budget"/>
    <tableColumn id="5" name="Actual"/>
    <tableColumn id="6" name="Manager"/>
    <tableColumn id="7" name="Variance"/>
    <tableColumn id="8" name="Status"/>
    <tableColumn id="9" name="Variance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I7" totalsRowShown="0">
  <autoFilter ref="A1:I7"/>
  <tableColumns count="9">
    <tableColumn id="1" name="Month"/>
    <tableColumn id="2" name="Department"/>
    <tableColumn id="3" name="Expense Type"/>
    <tableColumn id="4" name="Budget"/>
    <tableColumn id="5" name="Actual"/>
    <tableColumn id="6" name="Manager"/>
    <tableColumn id="7" name="Variance"/>
    <tableColumn id="8" name="Status"/>
    <tableColumn id="9" name="Variance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I7" totalsRowShown="0">
  <autoFilter ref="A1:I7"/>
  <tableColumns count="9">
    <tableColumn id="1" name="Month"/>
    <tableColumn id="2" name="Department"/>
    <tableColumn id="3" name="Expense Type"/>
    <tableColumn id="4" name="Budget"/>
    <tableColumn id="5" name="Actual"/>
    <tableColumn id="6" name="Manager"/>
    <tableColumn id="7" name="Variance"/>
    <tableColumn id="8" name="Status"/>
    <tableColumn id="9" name="Variance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3:J34" totalsRowCount="1" headerRowDxfId="26" dataDxfId="25" totalsRowBorderDxfId="24">
  <autoFilter ref="A3:J33"/>
  <tableColumns count="10">
    <tableColumn id="1" name="Month" totalsRowLabel="Total" dataDxfId="23" totalsRowDxfId="22"/>
    <tableColumn id="2" name="Department" dataDxfId="21" totalsRowDxfId="20"/>
    <tableColumn id="3" name="Expense Type" dataDxfId="19" totalsRowDxfId="18"/>
    <tableColumn id="4" name="Budget" totalsRowFunction="sum" dataDxfId="17" totalsRowDxfId="16" dataCellStyle="Currency"/>
    <tableColumn id="5" name="Actual" totalsRowFunction="sum" dataDxfId="15" totalsRowDxfId="14"/>
    <tableColumn id="6" name="Manager" dataDxfId="13" totalsRowDxfId="12"/>
    <tableColumn id="10" name="Rating" dataDxfId="11" totalsRowDxfId="10"/>
    <tableColumn id="7" name="Variance" totalsRowFunction="sum" dataDxfId="9" totalsRowDxfId="8" dataCellStyle="Currency">
      <calculatedColumnFormula>Table1[[#This Row],[Actual]]-Table1[[#This Row],[Budget]]</calculatedColumnFormula>
    </tableColumn>
    <tableColumn id="8" name="Status" dataDxfId="7" totalsRowDxfId="6">
      <calculatedColumnFormula>IF(Table1[[#This Row],[Variance]]&gt;0,"Over Budget","Within Budget")</calculatedColumnFormula>
    </tableColumn>
    <tableColumn id="9" name="Variance%" dataDxfId="5" totalsRowDxfId="4">
      <calculatedColumnFormula>Table1[[#This Row],[Variance]]/Table1[[#This Row],[Budget]]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L28:M33" totalsRowShown="0" headerRowBorderDxfId="3" tableBorderDxfId="2">
  <autoFilter ref="L28:M33"/>
  <tableColumns count="2">
    <tableColumn id="1" name="Department" dataDxfId="1"/>
    <tableColumn id="2" name="Director" dataDxfId="0">
      <calculatedColumnFormula>INDEX(Table1[Manager],MATCH(Table2[Department],Table1[Department],0))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7"/>
    </sheetView>
  </sheetViews>
  <sheetFormatPr defaultRowHeight="14.4" x14ac:dyDescent="0.3"/>
  <cols>
    <col min="2" max="2" width="13" customWidth="1"/>
    <col min="3" max="3" width="14.33203125" customWidth="1"/>
    <col min="6" max="6" width="10.44140625" customWidth="1"/>
    <col min="7" max="7" width="10.21875" customWidth="1"/>
    <col min="9" max="9" width="11.6640625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28</v>
      </c>
      <c r="H1" t="s">
        <v>29</v>
      </c>
      <c r="I1" t="s">
        <v>30</v>
      </c>
    </row>
    <row r="2" spans="1:9" x14ac:dyDescent="0.3">
      <c r="A2" t="s">
        <v>27</v>
      </c>
      <c r="B2" t="s">
        <v>14</v>
      </c>
      <c r="C2" t="s">
        <v>15</v>
      </c>
      <c r="D2">
        <v>96000</v>
      </c>
      <c r="E2">
        <v>98000</v>
      </c>
      <c r="F2" t="s">
        <v>16</v>
      </c>
      <c r="G2">
        <v>2000</v>
      </c>
      <c r="H2" t="s">
        <v>49</v>
      </c>
      <c r="I2">
        <v>2.0833333333333332E-2</v>
      </c>
    </row>
    <row r="3" spans="1:9" x14ac:dyDescent="0.3">
      <c r="A3" t="s">
        <v>26</v>
      </c>
      <c r="B3" t="s">
        <v>14</v>
      </c>
      <c r="C3" t="s">
        <v>15</v>
      </c>
      <c r="D3">
        <v>95000</v>
      </c>
      <c r="E3">
        <v>93000</v>
      </c>
      <c r="F3" t="s">
        <v>16</v>
      </c>
      <c r="G3">
        <v>-2000</v>
      </c>
      <c r="H3" t="s">
        <v>50</v>
      </c>
      <c r="I3">
        <v>-2.1052631578947368E-2</v>
      </c>
    </row>
    <row r="4" spans="1:9" x14ac:dyDescent="0.3">
      <c r="A4" t="s">
        <v>7</v>
      </c>
      <c r="B4" t="s">
        <v>14</v>
      </c>
      <c r="C4" t="s">
        <v>15</v>
      </c>
      <c r="D4">
        <v>90000</v>
      </c>
      <c r="E4">
        <v>85000</v>
      </c>
      <c r="F4" t="s">
        <v>16</v>
      </c>
      <c r="G4">
        <v>-5000</v>
      </c>
      <c r="H4" t="s">
        <v>50</v>
      </c>
      <c r="I4">
        <v>-5.5555555555555552E-2</v>
      </c>
    </row>
    <row r="5" spans="1:9" x14ac:dyDescent="0.3">
      <c r="A5" t="s">
        <v>25</v>
      </c>
      <c r="B5" t="s">
        <v>14</v>
      </c>
      <c r="C5" t="s">
        <v>15</v>
      </c>
      <c r="D5">
        <v>88000</v>
      </c>
      <c r="E5">
        <v>86000</v>
      </c>
      <c r="F5" t="s">
        <v>16</v>
      </c>
      <c r="G5">
        <v>-2000</v>
      </c>
      <c r="H5" t="s">
        <v>50</v>
      </c>
      <c r="I5">
        <v>-2.2727272727272728E-2</v>
      </c>
    </row>
    <row r="6" spans="1:9" x14ac:dyDescent="0.3">
      <c r="A6" t="s">
        <v>24</v>
      </c>
      <c r="B6" t="s">
        <v>14</v>
      </c>
      <c r="C6" t="s">
        <v>15</v>
      </c>
      <c r="D6">
        <v>92000</v>
      </c>
      <c r="E6">
        <v>90000</v>
      </c>
      <c r="F6" t="s">
        <v>16</v>
      </c>
      <c r="G6">
        <v>-2000</v>
      </c>
      <c r="H6" t="s">
        <v>50</v>
      </c>
      <c r="I6">
        <v>-2.1739130434782608E-2</v>
      </c>
    </row>
    <row r="7" spans="1:9" x14ac:dyDescent="0.3">
      <c r="A7" t="s">
        <v>23</v>
      </c>
      <c r="B7" t="s">
        <v>14</v>
      </c>
      <c r="C7" t="s">
        <v>15</v>
      </c>
      <c r="D7">
        <v>85000</v>
      </c>
      <c r="E7">
        <v>90000</v>
      </c>
      <c r="F7" t="s">
        <v>16</v>
      </c>
      <c r="G7">
        <v>5000</v>
      </c>
      <c r="H7" t="s">
        <v>49</v>
      </c>
      <c r="I7">
        <v>5.8823529411764705E-2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7"/>
    </sheetView>
  </sheetViews>
  <sheetFormatPr defaultRowHeight="14.4" x14ac:dyDescent="0.3"/>
  <cols>
    <col min="2" max="2" width="13" customWidth="1"/>
    <col min="3" max="3" width="14.33203125" customWidth="1"/>
    <col min="6" max="6" width="10.44140625" customWidth="1"/>
    <col min="7" max="7" width="10.21875" customWidth="1"/>
    <col min="9" max="9" width="11.6640625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28</v>
      </c>
      <c r="H1" t="s">
        <v>29</v>
      </c>
      <c r="I1" t="s">
        <v>30</v>
      </c>
    </row>
    <row r="2" spans="1:9" x14ac:dyDescent="0.3">
      <c r="A2" t="s">
        <v>27</v>
      </c>
      <c r="B2" t="s">
        <v>14</v>
      </c>
      <c r="C2" t="s">
        <v>15</v>
      </c>
      <c r="D2">
        <v>96000</v>
      </c>
      <c r="E2">
        <v>98000</v>
      </c>
      <c r="F2" t="s">
        <v>16</v>
      </c>
      <c r="G2">
        <v>2000</v>
      </c>
      <c r="H2" t="s">
        <v>49</v>
      </c>
      <c r="I2">
        <v>2.0833333333333332E-2</v>
      </c>
    </row>
    <row r="3" spans="1:9" x14ac:dyDescent="0.3">
      <c r="A3" t="s">
        <v>26</v>
      </c>
      <c r="B3" t="s">
        <v>14</v>
      </c>
      <c r="C3" t="s">
        <v>15</v>
      </c>
      <c r="D3">
        <v>95000</v>
      </c>
      <c r="E3">
        <v>93000</v>
      </c>
      <c r="F3" t="s">
        <v>16</v>
      </c>
      <c r="G3">
        <v>-2000</v>
      </c>
      <c r="H3" t="s">
        <v>50</v>
      </c>
      <c r="I3">
        <v>-2.1052631578947368E-2</v>
      </c>
    </row>
    <row r="4" spans="1:9" x14ac:dyDescent="0.3">
      <c r="A4" t="s">
        <v>7</v>
      </c>
      <c r="B4" t="s">
        <v>14</v>
      </c>
      <c r="C4" t="s">
        <v>15</v>
      </c>
      <c r="D4">
        <v>90000</v>
      </c>
      <c r="E4">
        <v>85000</v>
      </c>
      <c r="F4" t="s">
        <v>16</v>
      </c>
      <c r="G4">
        <v>-5000</v>
      </c>
      <c r="H4" t="s">
        <v>50</v>
      </c>
      <c r="I4">
        <v>-5.5555555555555552E-2</v>
      </c>
    </row>
    <row r="5" spans="1:9" x14ac:dyDescent="0.3">
      <c r="A5" t="s">
        <v>25</v>
      </c>
      <c r="B5" t="s">
        <v>14</v>
      </c>
      <c r="C5" t="s">
        <v>15</v>
      </c>
      <c r="D5">
        <v>88000</v>
      </c>
      <c r="E5">
        <v>86000</v>
      </c>
      <c r="F5" t="s">
        <v>16</v>
      </c>
      <c r="G5">
        <v>-2000</v>
      </c>
      <c r="H5" t="s">
        <v>50</v>
      </c>
      <c r="I5">
        <v>-2.2727272727272728E-2</v>
      </c>
    </row>
    <row r="6" spans="1:9" x14ac:dyDescent="0.3">
      <c r="A6" t="s">
        <v>24</v>
      </c>
      <c r="B6" t="s">
        <v>14</v>
      </c>
      <c r="C6" t="s">
        <v>15</v>
      </c>
      <c r="D6">
        <v>92000</v>
      </c>
      <c r="E6">
        <v>90000</v>
      </c>
      <c r="F6" t="s">
        <v>16</v>
      </c>
      <c r="G6">
        <v>-2000</v>
      </c>
      <c r="H6" t="s">
        <v>50</v>
      </c>
      <c r="I6">
        <v>-2.1739130434782608E-2</v>
      </c>
    </row>
    <row r="7" spans="1:9" x14ac:dyDescent="0.3">
      <c r="A7" t="s">
        <v>23</v>
      </c>
      <c r="B7" t="s">
        <v>14</v>
      </c>
      <c r="C7" t="s">
        <v>15</v>
      </c>
      <c r="D7">
        <v>85000</v>
      </c>
      <c r="E7">
        <v>90000</v>
      </c>
      <c r="F7" t="s">
        <v>16</v>
      </c>
      <c r="G7">
        <v>5000</v>
      </c>
      <c r="H7" t="s">
        <v>49</v>
      </c>
      <c r="I7">
        <v>5.8823529411764705E-2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sqref="A1:I7"/>
    </sheetView>
  </sheetViews>
  <sheetFormatPr defaultRowHeight="14.4" x14ac:dyDescent="0.3"/>
  <cols>
    <col min="2" max="2" width="13" customWidth="1"/>
    <col min="3" max="3" width="14.33203125" customWidth="1"/>
    <col min="6" max="6" width="10.44140625" customWidth="1"/>
    <col min="7" max="7" width="10.21875" customWidth="1"/>
    <col min="9" max="9" width="11.6640625" customWidth="1"/>
  </cols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28</v>
      </c>
      <c r="H1" t="s">
        <v>29</v>
      </c>
      <c r="I1" t="s">
        <v>30</v>
      </c>
    </row>
    <row r="2" spans="1:9" x14ac:dyDescent="0.3">
      <c r="A2" t="s">
        <v>27</v>
      </c>
      <c r="B2" t="s">
        <v>14</v>
      </c>
      <c r="C2" t="s">
        <v>15</v>
      </c>
      <c r="D2">
        <v>96000</v>
      </c>
      <c r="E2">
        <v>98000</v>
      </c>
      <c r="F2" t="s">
        <v>16</v>
      </c>
      <c r="G2">
        <v>2000</v>
      </c>
      <c r="H2" t="s">
        <v>49</v>
      </c>
      <c r="I2">
        <v>2.0833333333333332E-2</v>
      </c>
    </row>
    <row r="3" spans="1:9" x14ac:dyDescent="0.3">
      <c r="A3" t="s">
        <v>26</v>
      </c>
      <c r="B3" t="s">
        <v>14</v>
      </c>
      <c r="C3" t="s">
        <v>15</v>
      </c>
      <c r="D3">
        <v>95000</v>
      </c>
      <c r="E3">
        <v>93000</v>
      </c>
      <c r="F3" t="s">
        <v>16</v>
      </c>
      <c r="G3">
        <v>-2000</v>
      </c>
      <c r="H3" t="s">
        <v>50</v>
      </c>
      <c r="I3">
        <v>-2.1052631578947368E-2</v>
      </c>
    </row>
    <row r="4" spans="1:9" x14ac:dyDescent="0.3">
      <c r="A4" t="s">
        <v>7</v>
      </c>
      <c r="B4" t="s">
        <v>14</v>
      </c>
      <c r="C4" t="s">
        <v>15</v>
      </c>
      <c r="D4">
        <v>90000</v>
      </c>
      <c r="E4">
        <v>85000</v>
      </c>
      <c r="F4" t="s">
        <v>16</v>
      </c>
      <c r="G4">
        <v>-5000</v>
      </c>
      <c r="H4" t="s">
        <v>50</v>
      </c>
      <c r="I4">
        <v>-5.5555555555555552E-2</v>
      </c>
    </row>
    <row r="5" spans="1:9" x14ac:dyDescent="0.3">
      <c r="A5" t="s">
        <v>25</v>
      </c>
      <c r="B5" t="s">
        <v>14</v>
      </c>
      <c r="C5" t="s">
        <v>15</v>
      </c>
      <c r="D5">
        <v>88000</v>
      </c>
      <c r="E5">
        <v>86000</v>
      </c>
      <c r="F5" t="s">
        <v>16</v>
      </c>
      <c r="G5">
        <v>-2000</v>
      </c>
      <c r="H5" t="s">
        <v>50</v>
      </c>
      <c r="I5">
        <v>-2.2727272727272728E-2</v>
      </c>
    </row>
    <row r="6" spans="1:9" x14ac:dyDescent="0.3">
      <c r="A6" t="s">
        <v>24</v>
      </c>
      <c r="B6" t="s">
        <v>14</v>
      </c>
      <c r="C6" t="s">
        <v>15</v>
      </c>
      <c r="D6">
        <v>92000</v>
      </c>
      <c r="E6">
        <v>90000</v>
      </c>
      <c r="F6" t="s">
        <v>16</v>
      </c>
      <c r="G6">
        <v>-2000</v>
      </c>
      <c r="H6" t="s">
        <v>50</v>
      </c>
      <c r="I6">
        <v>-2.1739130434782608E-2</v>
      </c>
    </row>
    <row r="7" spans="1:9" x14ac:dyDescent="0.3">
      <c r="A7" t="s">
        <v>23</v>
      </c>
      <c r="B7" t="s">
        <v>14</v>
      </c>
      <c r="C7" t="s">
        <v>15</v>
      </c>
      <c r="D7">
        <v>85000</v>
      </c>
      <c r="E7">
        <v>90000</v>
      </c>
      <c r="F7" t="s">
        <v>16</v>
      </c>
      <c r="G7">
        <v>5000</v>
      </c>
      <c r="H7" t="s">
        <v>49</v>
      </c>
      <c r="I7">
        <v>5.8823529411764705E-2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6"/>
  <sheetViews>
    <sheetView tabSelected="1" topLeftCell="A81" zoomScale="90" zoomScaleNormal="90" workbookViewId="0">
      <selection activeCell="E99" sqref="E99"/>
    </sheetView>
  </sheetViews>
  <sheetFormatPr defaultRowHeight="14.4" x14ac:dyDescent="0.3"/>
  <cols>
    <col min="1" max="1" width="12.5546875" customWidth="1"/>
    <col min="2" max="2" width="13.5546875" customWidth="1"/>
    <col min="3" max="3" width="12.77734375" customWidth="1"/>
    <col min="4" max="4" width="15.6640625" style="11" customWidth="1"/>
    <col min="5" max="5" width="13.6640625" bestFit="1" customWidth="1"/>
    <col min="6" max="7" width="10.44140625" customWidth="1"/>
    <col min="8" max="8" width="15" bestFit="1" customWidth="1"/>
    <col min="9" max="9" width="13.44140625" customWidth="1"/>
    <col min="10" max="10" width="13.109375" customWidth="1"/>
    <col min="11" max="11" width="19.109375" customWidth="1"/>
    <col min="12" max="12" width="12.77734375" bestFit="1" customWidth="1"/>
    <col min="13" max="13" width="13.6640625" bestFit="1" customWidth="1"/>
    <col min="14" max="14" width="3.77734375" customWidth="1"/>
    <col min="15" max="15" width="18.21875" bestFit="1" customWidth="1"/>
    <col min="16" max="16" width="3.5546875" customWidth="1"/>
    <col min="17" max="17" width="16.109375" bestFit="1" customWidth="1"/>
  </cols>
  <sheetData>
    <row r="1" spans="1:17" ht="23.4" x14ac:dyDescent="0.45">
      <c r="A1" s="1"/>
      <c r="B1" s="1"/>
      <c r="C1" s="1"/>
      <c r="D1" s="9" t="s">
        <v>0</v>
      </c>
      <c r="E1" s="1"/>
      <c r="F1" s="1"/>
      <c r="G1" s="1"/>
      <c r="H1" s="1"/>
    </row>
    <row r="3" spans="1:17" ht="18" x14ac:dyDescent="0.35">
      <c r="A3" s="2" t="s">
        <v>1</v>
      </c>
      <c r="B3" s="2" t="s">
        <v>2</v>
      </c>
      <c r="C3" s="2" t="s">
        <v>3</v>
      </c>
      <c r="D3" s="10" t="s">
        <v>4</v>
      </c>
      <c r="E3" s="2" t="s">
        <v>5</v>
      </c>
      <c r="F3" s="2" t="s">
        <v>6</v>
      </c>
      <c r="G3" s="2" t="s">
        <v>48</v>
      </c>
      <c r="H3" s="2" t="s">
        <v>28</v>
      </c>
      <c r="I3" s="2" t="s">
        <v>29</v>
      </c>
      <c r="J3" s="2" t="s">
        <v>30</v>
      </c>
      <c r="L3" s="5" t="s">
        <v>32</v>
      </c>
      <c r="M3" s="1"/>
      <c r="O3" s="12">
        <f>SUM(Table1[Budget])</f>
        <v>6041000</v>
      </c>
      <c r="Q3" s="23">
        <f>SUMIFS(Table1[Budget],Table1[Month],L20,Table1[Department],L23,Table1[Manager],L26)</f>
        <v>220000</v>
      </c>
    </row>
    <row r="4" spans="1:17" ht="18" x14ac:dyDescent="0.35">
      <c r="A4" s="3" t="s">
        <v>7</v>
      </c>
      <c r="B4" s="3" t="s">
        <v>8</v>
      </c>
      <c r="C4" s="3" t="s">
        <v>9</v>
      </c>
      <c r="D4" s="16">
        <v>350000</v>
      </c>
      <c r="E4" s="14">
        <v>340000</v>
      </c>
      <c r="F4" s="3" t="s">
        <v>10</v>
      </c>
      <c r="G4" s="3">
        <v>6</v>
      </c>
      <c r="H4" s="17">
        <f>Table1[[#This Row],[Actual]]-Table1[[#This Row],[Budget]]</f>
        <v>-10000</v>
      </c>
      <c r="I4" s="3" t="str">
        <f>IF(Table1[[#This Row],[Variance]]&gt;0,"Over Budget","Within Budget")</f>
        <v>Within Budget</v>
      </c>
      <c r="J4" s="4">
        <f>Table1[[#This Row],[Variance]]/Table1[[#This Row],[Budget]]</f>
        <v>-2.8571428571428571E-2</v>
      </c>
      <c r="O4" s="13"/>
      <c r="Q4" s="24"/>
    </row>
    <row r="5" spans="1:17" ht="18" x14ac:dyDescent="0.35">
      <c r="A5" s="3" t="s">
        <v>7</v>
      </c>
      <c r="B5" s="3" t="s">
        <v>11</v>
      </c>
      <c r="C5" s="3" t="s">
        <v>12</v>
      </c>
      <c r="D5" s="16">
        <v>220000</v>
      </c>
      <c r="E5" s="14">
        <v>240000</v>
      </c>
      <c r="F5" s="3" t="s">
        <v>13</v>
      </c>
      <c r="G5" s="3">
        <v>3</v>
      </c>
      <c r="H5" s="17">
        <f>Table1[[#This Row],[Actual]]-Table1[[#This Row],[Budget]]</f>
        <v>20000</v>
      </c>
      <c r="I5" s="3" t="str">
        <f>IF(Table1[[#This Row],[Variance]]&gt;0,"Over Budget","Within Budget")</f>
        <v>Over Budget</v>
      </c>
      <c r="J5" s="4">
        <f>Table1[[#This Row],[Variance]]/Table1[[#This Row],[Budget]]</f>
        <v>9.0909090909090912E-2</v>
      </c>
      <c r="L5" s="5" t="s">
        <v>33</v>
      </c>
      <c r="M5" s="1"/>
      <c r="O5" s="12">
        <f>SUM(Table1[Actual])</f>
        <v>6057000</v>
      </c>
      <c r="Q5" s="23">
        <f>SUMIFS(Table1[Actual],Table1[Month],L20,Table1[Department],L23,Table1[Manager],L26)</f>
        <v>240000</v>
      </c>
    </row>
    <row r="6" spans="1:17" ht="18" x14ac:dyDescent="0.35">
      <c r="A6" s="3" t="s">
        <v>7</v>
      </c>
      <c r="B6" s="3" t="s">
        <v>14</v>
      </c>
      <c r="C6" s="3" t="s">
        <v>15</v>
      </c>
      <c r="D6" s="16">
        <v>90000</v>
      </c>
      <c r="E6" s="14">
        <v>85000</v>
      </c>
      <c r="F6" s="3" t="s">
        <v>16</v>
      </c>
      <c r="G6" s="3">
        <v>4</v>
      </c>
      <c r="H6" s="17">
        <f>Table1[[#This Row],[Actual]]-Table1[[#This Row],[Budget]]</f>
        <v>-5000</v>
      </c>
      <c r="I6" s="3" t="str">
        <f>IF(Table1[[#This Row],[Variance]]&gt;0,"Over Budget","Within Budget")</f>
        <v>Within Budget</v>
      </c>
      <c r="J6" s="4">
        <f>Table1[[#This Row],[Variance]]/Table1[[#This Row],[Budget]]</f>
        <v>-5.5555555555555552E-2</v>
      </c>
      <c r="O6" s="13"/>
      <c r="Q6" s="22"/>
    </row>
    <row r="7" spans="1:17" ht="18" x14ac:dyDescent="0.35">
      <c r="A7" s="3" t="s">
        <v>7</v>
      </c>
      <c r="B7" s="3" t="s">
        <v>17</v>
      </c>
      <c r="C7" s="3" t="s">
        <v>18</v>
      </c>
      <c r="D7" s="16">
        <v>180000</v>
      </c>
      <c r="E7" s="14">
        <v>195000</v>
      </c>
      <c r="F7" s="3" t="s">
        <v>19</v>
      </c>
      <c r="G7" s="3">
        <v>7</v>
      </c>
      <c r="H7" s="17">
        <f>Table1[[#This Row],[Actual]]-Table1[[#This Row],[Budget]]</f>
        <v>15000</v>
      </c>
      <c r="I7" s="3" t="str">
        <f>IF(Table1[[#This Row],[Variance]]&gt;0,"Over Budget","Within Budget")</f>
        <v>Over Budget</v>
      </c>
      <c r="J7" s="4">
        <f>Table1[[#This Row],[Variance]]/Table1[[#This Row],[Budget]]</f>
        <v>8.3333333333333329E-2</v>
      </c>
      <c r="L7" s="5" t="s">
        <v>34</v>
      </c>
      <c r="M7" s="1"/>
      <c r="O7" s="12">
        <f>SUM(Table1[Variance])</f>
        <v>16000</v>
      </c>
      <c r="Q7" s="23">
        <f>IFERROR(SUMIFS(Table1[Variance],Table1[Month],L20,Table1[Department],L23,Table1[Manager],L26),"No Data")</f>
        <v>20000</v>
      </c>
    </row>
    <row r="8" spans="1:17" ht="18" x14ac:dyDescent="0.35">
      <c r="A8" s="3" t="s">
        <v>7</v>
      </c>
      <c r="B8" s="3" t="s">
        <v>20</v>
      </c>
      <c r="C8" s="3" t="s">
        <v>21</v>
      </c>
      <c r="D8" s="16">
        <v>120000</v>
      </c>
      <c r="E8" s="14">
        <v>110000</v>
      </c>
      <c r="F8" s="3" t="s">
        <v>22</v>
      </c>
      <c r="G8" s="3">
        <v>3</v>
      </c>
      <c r="H8" s="17">
        <f>Table1[[#This Row],[Actual]]-Table1[[#This Row],[Budget]]</f>
        <v>-10000</v>
      </c>
      <c r="I8" s="3" t="str">
        <f>IF(Table1[[#This Row],[Variance]]&gt;0,"Over Budget","Within Budget")</f>
        <v>Within Budget</v>
      </c>
      <c r="J8" s="4">
        <f>Table1[[#This Row],[Variance]]/Table1[[#This Row],[Budget]]</f>
        <v>-8.3333333333333329E-2</v>
      </c>
      <c r="O8" s="13"/>
      <c r="Q8" s="22"/>
    </row>
    <row r="9" spans="1:17" ht="18" x14ac:dyDescent="0.35">
      <c r="A9" s="3" t="s">
        <v>23</v>
      </c>
      <c r="B9" s="3" t="s">
        <v>8</v>
      </c>
      <c r="C9" s="3" t="s">
        <v>9</v>
      </c>
      <c r="D9" s="16">
        <v>360000</v>
      </c>
      <c r="E9" s="14">
        <v>355000</v>
      </c>
      <c r="F9" s="3" t="s">
        <v>10</v>
      </c>
      <c r="G9" s="3">
        <v>6</v>
      </c>
      <c r="H9" s="17">
        <f>Table1[[#This Row],[Actual]]-Table1[[#This Row],[Budget]]</f>
        <v>-5000</v>
      </c>
      <c r="I9" s="3" t="str">
        <f>IF(Table1[[#This Row],[Variance]]&gt;0,"Over Budget","Within Budget")</f>
        <v>Within Budget</v>
      </c>
      <c r="J9" s="4">
        <f>Table1[[#This Row],[Variance]]/Table1[[#This Row],[Budget]]</f>
        <v>-1.3888888888888888E-2</v>
      </c>
      <c r="L9" s="5" t="s">
        <v>35</v>
      </c>
      <c r="M9" s="1"/>
      <c r="O9" s="12">
        <f>AVERAGE(Table1[Budget])</f>
        <v>201366.66666666666</v>
      </c>
      <c r="Q9" s="12">
        <f>IFERROR(AVERAGEIFS(Table1[Budget],Table1[Month],L20,Table1[Department],L23,Table1[Manager],L26),"No Data")</f>
        <v>220000</v>
      </c>
    </row>
    <row r="10" spans="1:17" ht="18" x14ac:dyDescent="0.35">
      <c r="A10" s="3" t="s">
        <v>23</v>
      </c>
      <c r="B10" s="3" t="s">
        <v>11</v>
      </c>
      <c r="C10" s="3" t="s">
        <v>12</v>
      </c>
      <c r="D10" s="16">
        <v>210000</v>
      </c>
      <c r="E10" s="14">
        <v>205000</v>
      </c>
      <c r="F10" s="3" t="s">
        <v>13</v>
      </c>
      <c r="G10" s="3">
        <v>7</v>
      </c>
      <c r="H10" s="17">
        <f>Table1[[#This Row],[Actual]]-Table1[[#This Row],[Budget]]</f>
        <v>-5000</v>
      </c>
      <c r="I10" s="3" t="str">
        <f>IF(Table1[[#This Row],[Variance]]&gt;0,"Over Budget","Within Budget")</f>
        <v>Within Budget</v>
      </c>
      <c r="J10" s="4">
        <f>Table1[[#This Row],[Variance]]/Table1[[#This Row],[Budget]]</f>
        <v>-2.3809523809523808E-2</v>
      </c>
      <c r="O10" s="13"/>
      <c r="Q10" s="22"/>
    </row>
    <row r="11" spans="1:17" ht="18" x14ac:dyDescent="0.35">
      <c r="A11" s="3" t="s">
        <v>23</v>
      </c>
      <c r="B11" s="3" t="s">
        <v>14</v>
      </c>
      <c r="C11" s="3" t="s">
        <v>15</v>
      </c>
      <c r="D11" s="16">
        <v>85000</v>
      </c>
      <c r="E11" s="14">
        <v>90000</v>
      </c>
      <c r="F11" s="3" t="s">
        <v>16</v>
      </c>
      <c r="G11" s="3">
        <v>3</v>
      </c>
      <c r="H11" s="17">
        <f>Table1[[#This Row],[Actual]]-Table1[[#This Row],[Budget]]</f>
        <v>5000</v>
      </c>
      <c r="I11" s="3" t="str">
        <f>IF(Table1[[#This Row],[Variance]]&gt;0,"Over Budget","Within Budget")</f>
        <v>Over Budget</v>
      </c>
      <c r="J11" s="4">
        <f>Table1[[#This Row],[Variance]]/Table1[[#This Row],[Budget]]</f>
        <v>5.8823529411764705E-2</v>
      </c>
      <c r="L11" s="5" t="s">
        <v>41</v>
      </c>
      <c r="M11" s="1"/>
      <c r="O11" s="12">
        <f>AVERAGE(Table1[Actual])</f>
        <v>201900</v>
      </c>
      <c r="Q11" s="12">
        <f>IFERROR(AVERAGEIFS(Table1[Actual],Table1[Month],L20,Table1[Department],L23,Table1[Manager],L26),"No Data")</f>
        <v>240000</v>
      </c>
    </row>
    <row r="12" spans="1:17" x14ac:dyDescent="0.3">
      <c r="A12" s="3" t="s">
        <v>23</v>
      </c>
      <c r="B12" s="3" t="s">
        <v>17</v>
      </c>
      <c r="C12" s="3" t="s">
        <v>18</v>
      </c>
      <c r="D12" s="16">
        <v>190000</v>
      </c>
      <c r="E12" s="14">
        <v>200000</v>
      </c>
      <c r="F12" s="3" t="s">
        <v>19</v>
      </c>
      <c r="G12" s="3">
        <v>9</v>
      </c>
      <c r="H12" s="17">
        <f>Table1[[#This Row],[Actual]]-Table1[[#This Row],[Budget]]</f>
        <v>10000</v>
      </c>
      <c r="I12" s="3" t="str">
        <f>IF(Table1[[#This Row],[Variance]]&gt;0,"Over Budget","Within Budget")</f>
        <v>Over Budget</v>
      </c>
      <c r="J12" s="4">
        <f>Table1[[#This Row],[Variance]]/Table1[[#This Row],[Budget]]</f>
        <v>5.2631578947368418E-2</v>
      </c>
      <c r="Q12" s="22"/>
    </row>
    <row r="13" spans="1:17" ht="18" x14ac:dyDescent="0.35">
      <c r="A13" s="3" t="s">
        <v>23</v>
      </c>
      <c r="B13" s="3" t="s">
        <v>20</v>
      </c>
      <c r="C13" s="3" t="s">
        <v>21</v>
      </c>
      <c r="D13" s="16">
        <v>125000</v>
      </c>
      <c r="E13" s="14">
        <v>118000</v>
      </c>
      <c r="F13" s="3" t="s">
        <v>22</v>
      </c>
      <c r="G13" s="3">
        <v>6</v>
      </c>
      <c r="H13" s="17">
        <f>Table1[[#This Row],[Actual]]-Table1[[#This Row],[Budget]]</f>
        <v>-7000</v>
      </c>
      <c r="I13" s="3" t="str">
        <f>IF(Table1[[#This Row],[Variance]]&gt;0,"Over Budget","Within Budget")</f>
        <v>Within Budget</v>
      </c>
      <c r="J13" s="4">
        <f>Table1[[#This Row],[Variance]]/Table1[[#This Row],[Budget]]</f>
        <v>-5.6000000000000001E-2</v>
      </c>
      <c r="L13" s="5" t="s">
        <v>36</v>
      </c>
      <c r="M13" s="6"/>
      <c r="O13" s="12">
        <f>MAX(Table1[Actual])</f>
        <v>380000</v>
      </c>
      <c r="Q13" s="22"/>
    </row>
    <row r="14" spans="1:17" ht="18" x14ac:dyDescent="0.35">
      <c r="A14" s="3" t="s">
        <v>24</v>
      </c>
      <c r="B14" s="3" t="s">
        <v>8</v>
      </c>
      <c r="C14" s="3" t="s">
        <v>9</v>
      </c>
      <c r="D14" s="16">
        <v>355000</v>
      </c>
      <c r="E14" s="14">
        <v>370000</v>
      </c>
      <c r="F14" s="3" t="s">
        <v>10</v>
      </c>
      <c r="G14" s="3">
        <v>3</v>
      </c>
      <c r="H14" s="17">
        <f>Table1[[#This Row],[Actual]]-Table1[[#This Row],[Budget]]</f>
        <v>15000</v>
      </c>
      <c r="I14" s="3" t="str">
        <f>IF(Table1[[#This Row],[Variance]]&gt;0,"Over Budget","Within Budget")</f>
        <v>Over Budget</v>
      </c>
      <c r="J14" s="4">
        <f>Table1[[#This Row],[Variance]]/Table1[[#This Row],[Budget]]</f>
        <v>4.2253521126760563E-2</v>
      </c>
      <c r="O14" s="13"/>
    </row>
    <row r="15" spans="1:17" ht="18" x14ac:dyDescent="0.35">
      <c r="A15" s="3" t="s">
        <v>24</v>
      </c>
      <c r="B15" s="3" t="s">
        <v>11</v>
      </c>
      <c r="C15" s="3" t="s">
        <v>12</v>
      </c>
      <c r="D15" s="16">
        <v>230000</v>
      </c>
      <c r="E15" s="14">
        <v>225000</v>
      </c>
      <c r="F15" s="3" t="s">
        <v>13</v>
      </c>
      <c r="G15" s="3">
        <v>8</v>
      </c>
      <c r="H15" s="17">
        <f>Table1[[#This Row],[Actual]]-Table1[[#This Row],[Budget]]</f>
        <v>-5000</v>
      </c>
      <c r="I15" s="3" t="str">
        <f>IF(Table1[[#This Row],[Variance]]&gt;0,"Over Budget","Within Budget")</f>
        <v>Within Budget</v>
      </c>
      <c r="J15" s="4">
        <f>Table1[[#This Row],[Variance]]/Table1[[#This Row],[Budget]]</f>
        <v>-2.1739130434782608E-2</v>
      </c>
      <c r="L15" s="5" t="s">
        <v>37</v>
      </c>
      <c r="M15" s="1"/>
      <c r="O15" s="12">
        <f>MIN(Table1[Actual])</f>
        <v>85000</v>
      </c>
    </row>
    <row r="16" spans="1:17" x14ac:dyDescent="0.3">
      <c r="A16" s="3" t="s">
        <v>24</v>
      </c>
      <c r="B16" s="3" t="s">
        <v>14</v>
      </c>
      <c r="C16" s="3" t="s">
        <v>15</v>
      </c>
      <c r="D16" s="16">
        <v>92000</v>
      </c>
      <c r="E16" s="14">
        <v>90000</v>
      </c>
      <c r="F16" s="3" t="s">
        <v>16</v>
      </c>
      <c r="G16" s="3">
        <v>9</v>
      </c>
      <c r="H16" s="17">
        <f>Table1[[#This Row],[Actual]]-Table1[[#This Row],[Budget]]</f>
        <v>-2000</v>
      </c>
      <c r="I16" s="3" t="str">
        <f>IF(Table1[[#This Row],[Variance]]&gt;0,"Over Budget","Within Budget")</f>
        <v>Within Budget</v>
      </c>
      <c r="J16" s="4">
        <f>Table1[[#This Row],[Variance]]/Table1[[#This Row],[Budget]]</f>
        <v>-2.1739130434782608E-2</v>
      </c>
    </row>
    <row r="17" spans="1:15" ht="18" x14ac:dyDescent="0.35">
      <c r="A17" s="3" t="s">
        <v>24</v>
      </c>
      <c r="B17" s="3" t="s">
        <v>17</v>
      </c>
      <c r="C17" s="3" t="s">
        <v>18</v>
      </c>
      <c r="D17" s="16">
        <v>185000</v>
      </c>
      <c r="E17" s="14">
        <v>182000</v>
      </c>
      <c r="F17" s="3" t="s">
        <v>19</v>
      </c>
      <c r="G17" s="3">
        <v>3</v>
      </c>
      <c r="H17" s="17">
        <f>Table1[[#This Row],[Actual]]-Table1[[#This Row],[Budget]]</f>
        <v>-3000</v>
      </c>
      <c r="I17" s="3" t="str">
        <f>IF(Table1[[#This Row],[Variance]]&gt;0,"Over Budget","Within Budget")</f>
        <v>Within Budget</v>
      </c>
      <c r="J17" s="4">
        <f>Table1[[#This Row],[Variance]]/Table1[[#This Row],[Budget]]</f>
        <v>-1.6216216216216217E-2</v>
      </c>
      <c r="L17" s="5" t="s">
        <v>40</v>
      </c>
      <c r="M17" s="1"/>
      <c r="O17" s="12">
        <f>COUNTIFS(Table1[Month],L20,Table1[Department],L23,Table1[Manager],L26)</f>
        <v>1</v>
      </c>
    </row>
    <row r="18" spans="1:15" x14ac:dyDescent="0.3">
      <c r="A18" s="3" t="s">
        <v>24</v>
      </c>
      <c r="B18" s="3" t="s">
        <v>20</v>
      </c>
      <c r="C18" s="3" t="s">
        <v>21</v>
      </c>
      <c r="D18" s="16">
        <v>128000</v>
      </c>
      <c r="E18" s="14">
        <v>130000</v>
      </c>
      <c r="F18" s="3" t="s">
        <v>22</v>
      </c>
      <c r="G18" s="3">
        <v>7</v>
      </c>
      <c r="H18" s="17">
        <f>Table1[[#This Row],[Actual]]-Table1[[#This Row],[Budget]]</f>
        <v>2000</v>
      </c>
      <c r="I18" s="3" t="str">
        <f>IF(Table1[[#This Row],[Variance]]&gt;0,"Over Budget","Within Budget")</f>
        <v>Over Budget</v>
      </c>
      <c r="J18" s="4">
        <f>Table1[[#This Row],[Variance]]/Table1[[#This Row],[Budget]]</f>
        <v>1.5625E-2</v>
      </c>
    </row>
    <row r="19" spans="1:15" x14ac:dyDescent="0.3">
      <c r="A19" s="3" t="s">
        <v>25</v>
      </c>
      <c r="B19" s="3" t="s">
        <v>8</v>
      </c>
      <c r="C19" s="3" t="s">
        <v>9</v>
      </c>
      <c r="D19" s="16">
        <v>365000</v>
      </c>
      <c r="E19" s="14">
        <v>360000</v>
      </c>
      <c r="F19" s="3" t="s">
        <v>10</v>
      </c>
      <c r="G19" s="3">
        <v>8</v>
      </c>
      <c r="H19" s="17">
        <f>Table1[[#This Row],[Actual]]-Table1[[#This Row],[Budget]]</f>
        <v>-5000</v>
      </c>
      <c r="I19" s="3" t="str">
        <f>IF(Table1[[#This Row],[Variance]]&gt;0,"Over Budget","Within Budget")</f>
        <v>Within Budget</v>
      </c>
      <c r="J19" s="4">
        <f>Table1[[#This Row],[Variance]]/Table1[[#This Row],[Budget]]</f>
        <v>-1.3698630136986301E-2</v>
      </c>
      <c r="L19" s="19" t="s">
        <v>1</v>
      </c>
      <c r="M19" s="20" t="s">
        <v>38</v>
      </c>
    </row>
    <row r="20" spans="1:15" x14ac:dyDescent="0.3">
      <c r="A20" s="3" t="s">
        <v>25</v>
      </c>
      <c r="B20" s="3" t="s">
        <v>11</v>
      </c>
      <c r="C20" s="3" t="s">
        <v>12</v>
      </c>
      <c r="D20" s="16">
        <v>240000</v>
      </c>
      <c r="E20" s="14">
        <v>245000</v>
      </c>
      <c r="F20" s="3" t="s">
        <v>13</v>
      </c>
      <c r="G20" s="3">
        <v>6</v>
      </c>
      <c r="H20" s="17">
        <f>Table1[[#This Row],[Actual]]-Table1[[#This Row],[Budget]]</f>
        <v>5000</v>
      </c>
      <c r="I20" s="3" t="str">
        <f>IF(Table1[[#This Row],[Variance]]&gt;0,"Over Budget","Within Budget")</f>
        <v>Over Budget</v>
      </c>
      <c r="J20" s="4">
        <f>Table1[[#This Row],[Variance]]/Table1[[#This Row],[Budget]]</f>
        <v>2.0833333333333332E-2</v>
      </c>
      <c r="L20" s="18" t="s">
        <v>7</v>
      </c>
      <c r="M20" s="21">
        <f>SUMIFS(Table1[Actual],Table1[Month],L20)</f>
        <v>970000</v>
      </c>
    </row>
    <row r="21" spans="1:15" x14ac:dyDescent="0.3">
      <c r="A21" s="3" t="s">
        <v>25</v>
      </c>
      <c r="B21" s="3" t="s">
        <v>14</v>
      </c>
      <c r="C21" s="3" t="s">
        <v>15</v>
      </c>
      <c r="D21" s="16">
        <v>88000</v>
      </c>
      <c r="E21" s="14">
        <v>86000</v>
      </c>
      <c r="F21" s="3" t="s">
        <v>16</v>
      </c>
      <c r="G21" s="3">
        <v>5</v>
      </c>
      <c r="H21" s="17">
        <f>Table1[[#This Row],[Actual]]-Table1[[#This Row],[Budget]]</f>
        <v>-2000</v>
      </c>
      <c r="I21" s="3" t="str">
        <f>IF(Table1[[#This Row],[Variance]]&gt;0,"Over Budget","Within Budget")</f>
        <v>Within Budget</v>
      </c>
      <c r="J21" s="4">
        <f>Table1[[#This Row],[Variance]]/Table1[[#This Row],[Budget]]</f>
        <v>-2.2727272727272728E-2</v>
      </c>
    </row>
    <row r="22" spans="1:15" x14ac:dyDescent="0.3">
      <c r="A22" s="3" t="s">
        <v>25</v>
      </c>
      <c r="B22" s="3" t="s">
        <v>17</v>
      </c>
      <c r="C22" s="3" t="s">
        <v>18</v>
      </c>
      <c r="D22" s="16">
        <v>195000</v>
      </c>
      <c r="E22" s="14">
        <v>205000</v>
      </c>
      <c r="F22" s="3" t="s">
        <v>19</v>
      </c>
      <c r="G22" s="3">
        <v>4</v>
      </c>
      <c r="H22" s="17">
        <f>Table1[[#This Row],[Actual]]-Table1[[#This Row],[Budget]]</f>
        <v>10000</v>
      </c>
      <c r="I22" s="3" t="str">
        <f>IF(Table1[[#This Row],[Variance]]&gt;0,"Over Budget","Within Budget")</f>
        <v>Over Budget</v>
      </c>
      <c r="J22" s="4">
        <f>Table1[[#This Row],[Variance]]/Table1[[#This Row],[Budget]]</f>
        <v>5.128205128205128E-2</v>
      </c>
      <c r="L22" s="19" t="s">
        <v>2</v>
      </c>
      <c r="M22" s="20" t="s">
        <v>39</v>
      </c>
    </row>
    <row r="23" spans="1:15" x14ac:dyDescent="0.3">
      <c r="A23" s="3" t="s">
        <v>25</v>
      </c>
      <c r="B23" s="3" t="s">
        <v>20</v>
      </c>
      <c r="C23" s="3" t="s">
        <v>21</v>
      </c>
      <c r="D23" s="16">
        <v>130000</v>
      </c>
      <c r="E23" s="14">
        <v>126000</v>
      </c>
      <c r="F23" s="3" t="s">
        <v>22</v>
      </c>
      <c r="G23" s="3">
        <v>5</v>
      </c>
      <c r="H23" s="17">
        <f>Table1[[#This Row],[Actual]]-Table1[[#This Row],[Budget]]</f>
        <v>-4000</v>
      </c>
      <c r="I23" s="3" t="str">
        <f>IF(Table1[[#This Row],[Variance]]&gt;0,"Over Budget","Within Budget")</f>
        <v>Within Budget</v>
      </c>
      <c r="J23" s="4">
        <f>Table1[[#This Row],[Variance]]/Table1[[#This Row],[Budget]]</f>
        <v>-3.0769230769230771E-2</v>
      </c>
      <c r="L23" s="18" t="s">
        <v>11</v>
      </c>
      <c r="M23" s="21">
        <f>SUMIFS(Table1[Actual],Table1[Department],L23)</f>
        <v>1408000</v>
      </c>
    </row>
    <row r="24" spans="1:15" x14ac:dyDescent="0.3">
      <c r="A24" s="3" t="s">
        <v>26</v>
      </c>
      <c r="B24" s="3" t="s">
        <v>8</v>
      </c>
      <c r="C24" s="3" t="s">
        <v>9</v>
      </c>
      <c r="D24" s="16">
        <v>370000</v>
      </c>
      <c r="E24" s="14">
        <v>375000</v>
      </c>
      <c r="F24" s="3" t="s">
        <v>10</v>
      </c>
      <c r="G24" s="3">
        <v>5</v>
      </c>
      <c r="H24" s="17">
        <f>Table1[[#This Row],[Actual]]-Table1[[#This Row],[Budget]]</f>
        <v>5000</v>
      </c>
      <c r="I24" s="3" t="str">
        <f>IF(Table1[[#This Row],[Variance]]&gt;0,"Over Budget","Within Budget")</f>
        <v>Over Budget</v>
      </c>
      <c r="J24" s="4">
        <f>Table1[[#This Row],[Variance]]/Table1[[#This Row],[Budget]]</f>
        <v>1.3513513513513514E-2</v>
      </c>
    </row>
    <row r="25" spans="1:15" x14ac:dyDescent="0.3">
      <c r="A25" s="3" t="s">
        <v>26</v>
      </c>
      <c r="B25" s="3" t="s">
        <v>11</v>
      </c>
      <c r="C25" s="3" t="s">
        <v>12</v>
      </c>
      <c r="D25" s="16">
        <v>245000</v>
      </c>
      <c r="E25" s="14">
        <v>238000</v>
      </c>
      <c r="F25" s="3" t="s">
        <v>13</v>
      </c>
      <c r="G25" s="3">
        <v>7</v>
      </c>
      <c r="H25" s="17">
        <f>Table1[[#This Row],[Actual]]-Table1[[#This Row],[Budget]]</f>
        <v>-7000</v>
      </c>
      <c r="I25" s="3" t="str">
        <f>IF(Table1[[#This Row],[Variance]]&gt;0,"Over Budget","Within Budget")</f>
        <v>Within Budget</v>
      </c>
      <c r="J25" s="4">
        <f>Table1[[#This Row],[Variance]]/Table1[[#This Row],[Budget]]</f>
        <v>-2.8571428571428571E-2</v>
      </c>
      <c r="L25" s="19" t="s">
        <v>6</v>
      </c>
      <c r="M25" s="20" t="s">
        <v>39</v>
      </c>
    </row>
    <row r="26" spans="1:15" x14ac:dyDescent="0.3">
      <c r="A26" s="3" t="s">
        <v>26</v>
      </c>
      <c r="B26" s="3" t="s">
        <v>14</v>
      </c>
      <c r="C26" s="3" t="s">
        <v>15</v>
      </c>
      <c r="D26" s="16">
        <v>95000</v>
      </c>
      <c r="E26" s="14">
        <v>93000</v>
      </c>
      <c r="F26" s="3" t="s">
        <v>16</v>
      </c>
      <c r="G26" s="3">
        <v>3</v>
      </c>
      <c r="H26" s="17">
        <f>Table1[[#This Row],[Actual]]-Table1[[#This Row],[Budget]]</f>
        <v>-2000</v>
      </c>
      <c r="I26" s="3" t="str">
        <f>IF(Table1[[#This Row],[Variance]]&gt;0,"Over Budget","Within Budget")</f>
        <v>Within Budget</v>
      </c>
      <c r="J26" s="4">
        <f>Table1[[#This Row],[Variance]]/Table1[[#This Row],[Budget]]</f>
        <v>-2.1052631578947368E-2</v>
      </c>
      <c r="L26" s="18" t="s">
        <v>13</v>
      </c>
      <c r="M26" s="21">
        <f>SUMIFS(Table1[Actual],Table1[Manager],L26)</f>
        <v>1408000</v>
      </c>
    </row>
    <row r="27" spans="1:15" x14ac:dyDescent="0.3">
      <c r="A27" s="3" t="s">
        <v>26</v>
      </c>
      <c r="B27" s="3" t="s">
        <v>17</v>
      </c>
      <c r="C27" s="3" t="s">
        <v>18</v>
      </c>
      <c r="D27" s="16">
        <v>200000</v>
      </c>
      <c r="E27" s="14">
        <v>198000</v>
      </c>
      <c r="F27" s="3" t="s">
        <v>19</v>
      </c>
      <c r="G27" s="3">
        <v>5</v>
      </c>
      <c r="H27" s="17">
        <f>Table1[[#This Row],[Actual]]-Table1[[#This Row],[Budget]]</f>
        <v>-2000</v>
      </c>
      <c r="I27" s="3" t="str">
        <f>IF(Table1[[#This Row],[Variance]]&gt;0,"Over Budget","Within Budget")</f>
        <v>Within Budget</v>
      </c>
      <c r="J27" s="4">
        <f>Table1[[#This Row],[Variance]]/Table1[[#This Row],[Budget]]</f>
        <v>-0.01</v>
      </c>
    </row>
    <row r="28" spans="1:15" x14ac:dyDescent="0.3">
      <c r="A28" s="3" t="s">
        <v>26</v>
      </c>
      <c r="B28" s="3" t="s">
        <v>20</v>
      </c>
      <c r="C28" s="3" t="s">
        <v>21</v>
      </c>
      <c r="D28" s="16">
        <v>132000</v>
      </c>
      <c r="E28" s="14">
        <v>129000</v>
      </c>
      <c r="F28" s="3" t="s">
        <v>22</v>
      </c>
      <c r="G28" s="3">
        <v>5</v>
      </c>
      <c r="H28" s="17">
        <f>Table1[[#This Row],[Actual]]-Table1[[#This Row],[Budget]]</f>
        <v>-3000</v>
      </c>
      <c r="I28" s="3" t="str">
        <f>IF(Table1[[#This Row],[Variance]]&gt;0,"Over Budget","Within Budget")</f>
        <v>Within Budget</v>
      </c>
      <c r="J28" s="4">
        <f>Table1[[#This Row],[Variance]]/Table1[[#This Row],[Budget]]</f>
        <v>-2.2727272727272728E-2</v>
      </c>
      <c r="L28" s="26" t="s">
        <v>2</v>
      </c>
      <c r="M28" s="18" t="s">
        <v>42</v>
      </c>
    </row>
    <row r="29" spans="1:15" x14ac:dyDescent="0.3">
      <c r="A29" s="3" t="s">
        <v>27</v>
      </c>
      <c r="B29" s="3" t="s">
        <v>8</v>
      </c>
      <c r="C29" s="3" t="s">
        <v>9</v>
      </c>
      <c r="D29" s="16">
        <v>375000</v>
      </c>
      <c r="E29" s="14">
        <v>380000</v>
      </c>
      <c r="F29" s="3" t="s">
        <v>10</v>
      </c>
      <c r="G29" s="3">
        <v>3</v>
      </c>
      <c r="H29" s="17">
        <f>Table1[[#This Row],[Actual]]-Table1[[#This Row],[Budget]]</f>
        <v>5000</v>
      </c>
      <c r="I29" s="3" t="str">
        <f>IF(Table1[[#This Row],[Variance]]&gt;0,"Over Budget","Within Budget")</f>
        <v>Over Budget</v>
      </c>
      <c r="J29" s="4">
        <f>Table1[[#This Row],[Variance]]/Table1[[#This Row],[Budget]]</f>
        <v>1.3333333333333334E-2</v>
      </c>
      <c r="L29" s="25" t="s">
        <v>8</v>
      </c>
      <c r="M29" s="27" t="str">
        <f>INDEX(Table1[Manager],MATCH(Table2[Department],Table1[Department],0))</f>
        <v>Ali</v>
      </c>
    </row>
    <row r="30" spans="1:15" x14ac:dyDescent="0.3">
      <c r="A30" s="3" t="s">
        <v>27</v>
      </c>
      <c r="B30" s="3" t="s">
        <v>11</v>
      </c>
      <c r="C30" s="3" t="s">
        <v>12</v>
      </c>
      <c r="D30" s="16">
        <v>250000</v>
      </c>
      <c r="E30" s="14">
        <v>255000</v>
      </c>
      <c r="F30" s="3" t="s">
        <v>13</v>
      </c>
      <c r="G30" s="3">
        <v>7</v>
      </c>
      <c r="H30" s="17">
        <f>Table1[[#This Row],[Actual]]-Table1[[#This Row],[Budget]]</f>
        <v>5000</v>
      </c>
      <c r="I30" s="3" t="str">
        <f>IF(Table1[[#This Row],[Variance]]&gt;0,"Over Budget","Within Budget")</f>
        <v>Over Budget</v>
      </c>
      <c r="J30" s="4">
        <f>Table1[[#This Row],[Variance]]/Table1[[#This Row],[Budget]]</f>
        <v>0.02</v>
      </c>
      <c r="L30" s="25" t="s">
        <v>11</v>
      </c>
      <c r="M30" s="27" t="str">
        <f>INDEX(Table1[Manager],MATCH(Table2[Department],Table1[Department],0))</f>
        <v>Sara</v>
      </c>
    </row>
    <row r="31" spans="1:15" x14ac:dyDescent="0.3">
      <c r="A31" s="3" t="s">
        <v>27</v>
      </c>
      <c r="B31" s="3" t="s">
        <v>14</v>
      </c>
      <c r="C31" s="3" t="s">
        <v>15</v>
      </c>
      <c r="D31" s="16">
        <v>96000</v>
      </c>
      <c r="E31" s="14">
        <v>98000</v>
      </c>
      <c r="F31" s="3" t="s">
        <v>16</v>
      </c>
      <c r="G31" s="3">
        <v>7</v>
      </c>
      <c r="H31" s="17">
        <f>Table1[[#This Row],[Actual]]-Table1[[#This Row],[Budget]]</f>
        <v>2000</v>
      </c>
      <c r="I31" s="3" t="str">
        <f>IF(Table1[[#This Row],[Variance]]&gt;0,"Over Budget","Within Budget")</f>
        <v>Over Budget</v>
      </c>
      <c r="J31" s="4">
        <f>Table1[[#This Row],[Variance]]/Table1[[#This Row],[Budget]]</f>
        <v>2.0833333333333332E-2</v>
      </c>
      <c r="L31" s="25" t="s">
        <v>14</v>
      </c>
      <c r="M31" s="27" t="str">
        <f>INDEX(Table1[Manager],MATCH(Table2[Department],Table1[Department],0))</f>
        <v>Ahmed</v>
      </c>
    </row>
    <row r="32" spans="1:15" x14ac:dyDescent="0.3">
      <c r="A32" s="3" t="s">
        <v>27</v>
      </c>
      <c r="B32" s="3" t="s">
        <v>17</v>
      </c>
      <c r="C32" s="3" t="s">
        <v>18</v>
      </c>
      <c r="D32" s="16">
        <v>205000</v>
      </c>
      <c r="E32" s="14">
        <v>202000</v>
      </c>
      <c r="F32" s="3" t="s">
        <v>19</v>
      </c>
      <c r="G32" s="3">
        <v>9</v>
      </c>
      <c r="H32" s="17">
        <f>Table1[[#This Row],[Actual]]-Table1[[#This Row],[Budget]]</f>
        <v>-3000</v>
      </c>
      <c r="I32" s="3" t="str">
        <f>IF(Table1[[#This Row],[Variance]]&gt;0,"Over Budget","Within Budget")</f>
        <v>Within Budget</v>
      </c>
      <c r="J32" s="4">
        <f>Table1[[#This Row],[Variance]]/Table1[[#This Row],[Budget]]</f>
        <v>-1.4634146341463415E-2</v>
      </c>
      <c r="L32" s="25" t="s">
        <v>17</v>
      </c>
      <c r="M32" s="27" t="str">
        <f>INDEX(Table1[Manager],MATCH(Table2[Department],Table1[Department],0))</f>
        <v>Hina</v>
      </c>
    </row>
    <row r="33" spans="1:13" x14ac:dyDescent="0.3">
      <c r="A33" s="3" t="s">
        <v>27</v>
      </c>
      <c r="B33" s="3" t="s">
        <v>20</v>
      </c>
      <c r="C33" s="3" t="s">
        <v>21</v>
      </c>
      <c r="D33" s="16">
        <v>135000</v>
      </c>
      <c r="E33" s="14">
        <v>132000</v>
      </c>
      <c r="F33" s="3" t="s">
        <v>22</v>
      </c>
      <c r="G33" s="3">
        <v>8</v>
      </c>
      <c r="H33" s="17">
        <f>Table1[[#This Row],[Actual]]-Table1[[#This Row],[Budget]]</f>
        <v>-3000</v>
      </c>
      <c r="I33" s="3" t="str">
        <f>IF(Table1[[#This Row],[Variance]]&gt;0,"Over Budget","Within Budget")</f>
        <v>Within Budget</v>
      </c>
      <c r="J33" s="4">
        <f>Table1[[#This Row],[Variance]]/Table1[[#This Row],[Budget]]</f>
        <v>-2.2222222222222223E-2</v>
      </c>
      <c r="L33" s="25" t="s">
        <v>20</v>
      </c>
      <c r="M33" s="27" t="str">
        <f>INDEX(Table1[Manager],MATCH(Table2[Department],Table1[Department],0))</f>
        <v>Usman</v>
      </c>
    </row>
    <row r="34" spans="1:13" ht="15" thickBot="1" x14ac:dyDescent="0.35">
      <c r="A34" s="7" t="s">
        <v>31</v>
      </c>
      <c r="B34" s="7"/>
      <c r="C34" s="7"/>
      <c r="D34" s="31">
        <f>SUBTOTAL(109,Table1[Budget])</f>
        <v>6041000</v>
      </c>
      <c r="E34" s="15">
        <f>SUBTOTAL(109,Table1[Actual])</f>
        <v>6057000</v>
      </c>
      <c r="F34" s="15"/>
      <c r="G34" s="15"/>
      <c r="H34" s="15">
        <f>SUBTOTAL(109,Table1[Variance])</f>
        <v>16000</v>
      </c>
      <c r="I34" s="7"/>
      <c r="J34" s="8"/>
    </row>
    <row r="35" spans="1:13" ht="15" thickTop="1" x14ac:dyDescent="0.3"/>
    <row r="40" spans="1:13" x14ac:dyDescent="0.3">
      <c r="A40" s="29" t="s">
        <v>44</v>
      </c>
      <c r="B40" t="s">
        <v>43</v>
      </c>
      <c r="C40" t="s">
        <v>46</v>
      </c>
      <c r="I40" s="29" t="s">
        <v>44</v>
      </c>
      <c r="J40" t="s">
        <v>46</v>
      </c>
    </row>
    <row r="41" spans="1:13" x14ac:dyDescent="0.3">
      <c r="A41" s="30" t="s">
        <v>20</v>
      </c>
      <c r="B41" s="28">
        <v>770000</v>
      </c>
      <c r="C41" s="28">
        <v>745000</v>
      </c>
      <c r="I41" s="30" t="s">
        <v>7</v>
      </c>
      <c r="J41" s="28">
        <v>970000</v>
      </c>
    </row>
    <row r="42" spans="1:13" x14ac:dyDescent="0.3">
      <c r="A42" s="30" t="s">
        <v>14</v>
      </c>
      <c r="B42" s="28">
        <v>546000</v>
      </c>
      <c r="C42" s="28">
        <v>542000</v>
      </c>
      <c r="I42" s="30" t="s">
        <v>23</v>
      </c>
      <c r="J42" s="28">
        <v>968000</v>
      </c>
    </row>
    <row r="43" spans="1:13" x14ac:dyDescent="0.3">
      <c r="A43" s="30" t="s">
        <v>17</v>
      </c>
      <c r="B43" s="28">
        <v>1155000</v>
      </c>
      <c r="C43" s="28">
        <v>1182000</v>
      </c>
      <c r="I43" s="30" t="s">
        <v>24</v>
      </c>
      <c r="J43" s="28">
        <v>997000</v>
      </c>
    </row>
    <row r="44" spans="1:13" x14ac:dyDescent="0.3">
      <c r="A44" s="30" t="s">
        <v>11</v>
      </c>
      <c r="B44" s="28">
        <v>1395000</v>
      </c>
      <c r="C44" s="28">
        <v>1408000</v>
      </c>
      <c r="I44" s="30" t="s">
        <v>25</v>
      </c>
      <c r="J44" s="28">
        <v>1022000</v>
      </c>
    </row>
    <row r="45" spans="1:13" x14ac:dyDescent="0.3">
      <c r="A45" s="30" t="s">
        <v>8</v>
      </c>
      <c r="B45" s="28">
        <v>2175000</v>
      </c>
      <c r="C45" s="28">
        <v>2180000</v>
      </c>
      <c r="I45" s="30" t="s">
        <v>26</v>
      </c>
      <c r="J45" s="28">
        <v>1033000</v>
      </c>
    </row>
    <row r="46" spans="1:13" x14ac:dyDescent="0.3">
      <c r="A46" s="30" t="s">
        <v>45</v>
      </c>
      <c r="B46" s="28">
        <v>6041000</v>
      </c>
      <c r="C46" s="28">
        <v>6057000</v>
      </c>
      <c r="I46" s="30" t="s">
        <v>27</v>
      </c>
      <c r="J46" s="28">
        <v>1067000</v>
      </c>
    </row>
    <row r="47" spans="1:13" x14ac:dyDescent="0.3">
      <c r="I47" s="30" t="s">
        <v>45</v>
      </c>
      <c r="J47" s="28">
        <v>6057000</v>
      </c>
    </row>
    <row r="56" spans="1:10" x14ac:dyDescent="0.3">
      <c r="A56" s="29" t="s">
        <v>44</v>
      </c>
      <c r="B56" t="s">
        <v>47</v>
      </c>
      <c r="I56" s="29" t="s">
        <v>44</v>
      </c>
      <c r="J56" t="s">
        <v>46</v>
      </c>
    </row>
    <row r="57" spans="1:10" x14ac:dyDescent="0.3">
      <c r="A57" s="30" t="s">
        <v>20</v>
      </c>
      <c r="B57" s="28">
        <v>-25000</v>
      </c>
      <c r="I57" s="30" t="s">
        <v>16</v>
      </c>
      <c r="J57" s="28">
        <v>542000</v>
      </c>
    </row>
    <row r="58" spans="1:10" x14ac:dyDescent="0.3">
      <c r="A58" s="30" t="s">
        <v>14</v>
      </c>
      <c r="B58" s="28">
        <v>-4000</v>
      </c>
      <c r="I58" s="30" t="s">
        <v>10</v>
      </c>
      <c r="J58" s="28">
        <v>2180000</v>
      </c>
    </row>
    <row r="59" spans="1:10" x14ac:dyDescent="0.3">
      <c r="A59" s="30" t="s">
        <v>17</v>
      </c>
      <c r="B59" s="28">
        <v>27000</v>
      </c>
      <c r="I59" s="30" t="s">
        <v>19</v>
      </c>
      <c r="J59" s="28">
        <v>1182000</v>
      </c>
    </row>
    <row r="60" spans="1:10" x14ac:dyDescent="0.3">
      <c r="A60" s="30" t="s">
        <v>11</v>
      </c>
      <c r="B60" s="28">
        <v>13000</v>
      </c>
      <c r="I60" s="30" t="s">
        <v>13</v>
      </c>
      <c r="J60" s="28">
        <v>1408000</v>
      </c>
    </row>
    <row r="61" spans="1:10" x14ac:dyDescent="0.3">
      <c r="A61" s="30" t="s">
        <v>8</v>
      </c>
      <c r="B61" s="28">
        <v>5000</v>
      </c>
      <c r="I61" s="30" t="s">
        <v>22</v>
      </c>
      <c r="J61" s="28">
        <v>745000</v>
      </c>
    </row>
    <row r="62" spans="1:10" x14ac:dyDescent="0.3">
      <c r="A62" s="30" t="s">
        <v>45</v>
      </c>
      <c r="B62" s="28">
        <v>16000</v>
      </c>
      <c r="I62" s="30" t="s">
        <v>45</v>
      </c>
      <c r="J62" s="28">
        <v>6057000</v>
      </c>
    </row>
    <row r="73" spans="8:12" x14ac:dyDescent="0.3">
      <c r="H73" s="30"/>
      <c r="I73" s="28"/>
      <c r="K73" s="30"/>
      <c r="L73" s="28"/>
    </row>
    <row r="74" spans="8:12" x14ac:dyDescent="0.3">
      <c r="H74" s="30"/>
      <c r="I74" s="28"/>
      <c r="K74" s="30"/>
      <c r="L74" s="28"/>
    </row>
    <row r="75" spans="8:12" x14ac:dyDescent="0.3">
      <c r="H75" s="30"/>
      <c r="I75" s="28"/>
      <c r="K75" s="30"/>
      <c r="L75" s="28"/>
    </row>
    <row r="76" spans="8:12" x14ac:dyDescent="0.3">
      <c r="H76" s="30"/>
      <c r="I76" s="28"/>
      <c r="K76" s="30"/>
      <c r="L76" s="28"/>
    </row>
    <row r="77" spans="8:12" x14ac:dyDescent="0.3">
      <c r="H77" s="30"/>
      <c r="I77" s="28"/>
      <c r="K77" s="30"/>
      <c r="L77" s="28"/>
    </row>
    <row r="78" spans="8:12" x14ac:dyDescent="0.3">
      <c r="H78" s="30"/>
      <c r="I78" s="28"/>
      <c r="K78" s="30"/>
      <c r="L78" s="28"/>
    </row>
    <row r="79" spans="8:12" x14ac:dyDescent="0.3">
      <c r="H79" s="30"/>
      <c r="I79" s="28"/>
      <c r="K79" s="30"/>
      <c r="L79" s="28"/>
    </row>
    <row r="87" spans="1:1" x14ac:dyDescent="0.3">
      <c r="A87" t="s">
        <v>51</v>
      </c>
    </row>
    <row r="89" spans="1:1" x14ac:dyDescent="0.3">
      <c r="A89" t="s">
        <v>52</v>
      </c>
    </row>
    <row r="90" spans="1:1" x14ac:dyDescent="0.3">
      <c r="A90" s="32" t="s">
        <v>55</v>
      </c>
    </row>
    <row r="92" spans="1:1" x14ac:dyDescent="0.3">
      <c r="A92" t="s">
        <v>53</v>
      </c>
    </row>
    <row r="93" spans="1:1" x14ac:dyDescent="0.3">
      <c r="A93" s="32" t="s">
        <v>56</v>
      </c>
    </row>
    <row r="95" spans="1:1" x14ac:dyDescent="0.3">
      <c r="A95" t="s">
        <v>54</v>
      </c>
    </row>
    <row r="96" spans="1:1" x14ac:dyDescent="0.3">
      <c r="A96" s="32" t="s">
        <v>57</v>
      </c>
    </row>
  </sheetData>
  <conditionalFormatting sqref="I4:I33">
    <cfRule type="cellIs" dxfId="38" priority="13" operator="equal">
      <formula>"Within Budget"</formula>
    </cfRule>
    <cfRule type="cellIs" dxfId="37" priority="14" operator="equal">
      <formula>"Over Budget"</formula>
    </cfRule>
  </conditionalFormatting>
  <conditionalFormatting sqref="G4:G33">
    <cfRule type="cellIs" dxfId="36" priority="10" operator="greaterThan">
      <formula>8</formula>
    </cfRule>
    <cfRule type="cellIs" dxfId="35" priority="9" operator="between">
      <formula>5</formula>
      <formula>7</formula>
    </cfRule>
    <cfRule type="cellIs" dxfId="34" priority="8" operator="lessThan">
      <formula>4</formula>
    </cfRule>
    <cfRule type="cellIs" dxfId="33" priority="7" operator="greaterThan">
      <formula>8</formula>
    </cfRule>
    <cfRule type="cellIs" dxfId="32" priority="6" operator="between">
      <formula>5</formula>
      <formula>8</formula>
    </cfRule>
    <cfRule type="cellIs" dxfId="31" priority="5" operator="lessThan">
      <formula>4</formula>
    </cfRule>
    <cfRule type="cellIs" dxfId="30" priority="4" operator="greaterThan">
      <formula>7</formula>
    </cfRule>
    <cfRule type="cellIs" dxfId="29" priority="3" operator="lessThan">
      <formula>5</formula>
    </cfRule>
    <cfRule type="cellIs" dxfId="28" priority="2" operator="lessThan">
      <formula>4</formula>
    </cfRule>
    <cfRule type="cellIs" dxfId="27" priority="1" operator="between">
      <formula>5</formula>
      <formula>7</formula>
    </cfRule>
  </conditionalFormatting>
  <dataValidations count="3">
    <dataValidation type="list" allowBlank="1" showInputMessage="1" showErrorMessage="1" sqref="L20">
      <formula1>"Jan,Feb,Mar,Apr,May,Jun"</formula1>
    </dataValidation>
    <dataValidation type="list" allowBlank="1" showInputMessage="1" showErrorMessage="1" sqref="L23">
      <formula1>"Sales,Marketing,HR,IT,Finance"</formula1>
    </dataValidation>
    <dataValidation type="list" allowBlank="1" showInputMessage="1" showErrorMessage="1" sqref="L26">
      <formula1>$F$4:$F$8</formula1>
    </dataValidation>
  </dataValidations>
  <pageMargins left="0.7" right="0.7" top="0.75" bottom="0.75" header="0.3" footer="0.3"/>
  <pageSetup orientation="portrait" r:id="rId5"/>
  <drawing r:id="rId6"/>
  <tableParts count="2">
    <tablePart r:id="rId7"/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" id="{3B69C42C-8231-4BFB-B915-B1A4C55721D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L3</xm:sqref>
        </x14:conditionalFormatting>
        <x14:conditionalFormatting xmlns:xm="http://schemas.microsoft.com/office/excel/2006/main">
          <x14:cfRule type="iconSet" priority="11" id="{18083BB0-933C-4EF5-9A52-1A0C36AABCB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M3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Sheet4</vt:lpstr>
      <vt:lpstr>Sheet5</vt:lpstr>
      <vt:lpstr>Sheet6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ITSME</dc:creator>
  <cp:lastModifiedBy>ITSME</cp:lastModifiedBy>
  <dcterms:created xsi:type="dcterms:W3CDTF">2026-07-10T14:16:25Z</dcterms:created>
  <dcterms:modified xsi:type="dcterms:W3CDTF">2026-07-11T13:13:36Z</dcterms:modified>
</cp:coreProperties>
</file>